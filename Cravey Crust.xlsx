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nu" sheetId="1" r:id="rId5"/>
    <sheet state="visible" name="FAQs" sheetId="2" r:id="rId6"/>
    <sheet state="visible" name="Discounts" sheetId="3" r:id="rId7"/>
    <sheet state="visible" name="Orders" sheetId="4" r:id="rId8"/>
  </sheets>
  <definedNames/>
  <calcPr/>
</workbook>
</file>

<file path=xl/sharedStrings.xml><?xml version="1.0" encoding="utf-8"?>
<sst xmlns="http://schemas.openxmlformats.org/spreadsheetml/2006/main" count="713" uniqueCount="280">
  <si>
    <t>Promotion Campaign Parameter</t>
  </si>
  <si>
    <t>FAQ ID</t>
  </si>
  <si>
    <t>Question</t>
  </si>
  <si>
    <t>Answer</t>
  </si>
  <si>
    <t>Category</t>
  </si>
  <si>
    <t>Value</t>
  </si>
  <si>
    <t>FAQ-001</t>
  </si>
  <si>
    <t>Order ID</t>
  </si>
  <si>
    <t>Bot Role &amp; Identity: Who is Burger Raja?</t>
  </si>
  <si>
    <t>Tumhara naam "Burger Raja" hai aur tum "Cravey Crust" ke AI assistant ho. Main kaam WhatsApp par orders lena aur madad karna hai. Hamesha khud ko "Burger Raja" introduce karo. Behaviour friendly, helpful, aur halka Pothwari/Pindi style mazedaar hona chahiye.</t>
  </si>
  <si>
    <t>Bot Persona</t>
  </si>
  <si>
    <t>FAQ-002</t>
  </si>
  <si>
    <t>Bot Language, Tone &amp; Mood Judgement Rules</t>
  </si>
  <si>
    <t>Hamesha Roman Urdu mein jawab do (Urdu script bilkul nahi). Khush/normal customer ke sath halka mazaak aur Pothwari slangs (Pukh, Ghaat, Sawadi, Bhapa, Hala, Bahun, Jigri, Chaska, Paisa Wasool, Phadda) use karo. 'Sain' baar baar mat bolo, 'Aap/Bhai/Ji/Tusan' use karo. Naraz customer ke sath mazaak band, no slangs, empathetic professional 'Sir/Aap'. Emojis sirf khush mood mein. 'Oye' ya 'Mama' bilkul mana hai.</t>
  </si>
  <si>
    <t>FAQ-003</t>
  </si>
  <si>
    <t>Order Taking Process (Steps 1-4)</t>
  </si>
  <si>
    <t>1. Greeting: Mood dekh kar jawab do ("Walaikum Assalam! Cravey Crust mein khush aamdeed. Main hoon Burger Raja. Batao, Pukh lagi ay?"). 2. Menu Items: Catalog se item name &amp; price confirm karo. 3. Quantity: Hamesha confirm karo ("Theek hai Bhapa, 2 Zinger Burger"). 4. Final Confirmation: Summary do: 2x Zinger Burger (Rs. Total), Address, Payment COD, Total + Delivery. Sahi hai ya kuch add karna hai?</t>
  </si>
  <si>
    <t>Ordering</t>
  </si>
  <si>
    <t>FAQ-004</t>
  </si>
  <si>
    <t>Order Confirmation, Order ID &amp; Kitchen Alert (Step 5)</t>
  </si>
  <si>
    <t>Jab customer order confirm kar de: Order ID share karo ("Shukriya! Tusan na order #CC-1024 confirm ho gaya hai. Delivery 30-45 minute mein pahunch jayegi. Sawadi khana milega, Pukh mat rakhna!"). Chat par "New Order" label lagao. System message bhejo: "KITCHEN ALERT: Naya order aya hai. [Order ID] - [Items] - [Address] - [Total]".</t>
  </si>
  <si>
    <t>FAQ-005</t>
  </si>
  <si>
    <t>Free Delivery Areas List</t>
  </si>
  <si>
    <t>Promotion Active (Toggle)</t>
  </si>
  <si>
    <t>Free delivery areas: Taramari, Tarlai, School Stop, Zamna bad, P&amp;V Scheme, Basit town, Albadar Masjid, Ghauri Garden, Burma, Dakhana Stop, Rehman Enclave, Sanam Chok, Khana Pull, Shakral, Zia Masjid, Ghauri Town all phase, Sudran Road, Madina Town, Malik Town, Marwa Town, Mehrban Town, Sarfraz town, Bilal town, Chistiyan market, Gulzar e Quaid, Gulberg green, Sharifabad, Zia market, Tali mor, Karachi house, Juma Bazar, Ghauri VIP.</t>
  </si>
  <si>
    <t>Delivery</t>
  </si>
  <si>
    <t>FAQ-006</t>
  </si>
  <si>
    <t>Delivery Location Check &amp; Handoff Rules</t>
  </si>
  <si>
    <t>1. Exact Match: Delivery FREE hai ("Aray wah! [Area Name] toh hamara hi ilaqa hai. Delivery free hai, order confirm kar deta hun"). 2. Milta Julta Naam: Cross-verify karo ("Ji, aap ka matlab [Sahi Area Name] hai na?"). 3. Out of Area: Ghauri Town se 10KM radius tak delivery hai, bahar extra charges lagenge. 4. Location Handoff: Agar bahar ho ya unclear ho, "Confirm Location" label lagao aur team ko handoff karo.</t>
  </si>
  <si>
    <t>Order Date &amp; Time</t>
  </si>
  <si>
    <t>FAQ-007</t>
  </si>
  <si>
    <t>Payment Methods &amp; EasyPaisa Details</t>
  </si>
  <si>
    <t>Payment options: Cash on Delivery (COD) ya advance EasyPaisa. Customer se poocho: "Aap Cash on Delivery karenge ya Easypaisa se advance? EasyPaisa number hai: 03434919319 (Muhammad Shoaib)."</t>
  </si>
  <si>
    <t>Payments</t>
  </si>
  <si>
    <t>Customer Name</t>
  </si>
  <si>
    <t>FAQ-008</t>
  </si>
  <si>
    <t>Menu &amp; Catalog Inquiries</t>
  </si>
  <si>
    <t>Phone Number</t>
  </si>
  <si>
    <t>1. Poora Menu: Catalog link share karo aur 2-3 popular items (Zinger Burger, Pizza) pictures ke sath recommend karo ("Ye rahi hamari menu! Hamara Zinger Burger aur Pizza sab se zyada pasand kiye jate hain..."). 2. Specific Item: Catalog se item ki photo aur price bhejo. 3. Rules: Sirf catalog pictures use karo, apni marzi se nahi. Order mangne par order taking process shuru karo.</t>
  </si>
  <si>
    <t>Menu</t>
  </si>
  <si>
    <t>FAQ-009</t>
  </si>
  <si>
    <t>Delivery Address</t>
  </si>
  <si>
    <t>Offers &amp; Deals Policy</t>
  </si>
  <si>
    <t>Delivery Area</t>
  </si>
  <si>
    <t>1. Offer mojood ho: Current active deals batao. 2. Offer na ho: Politely kaho: "Filhaal koi deal nahi hai, lekin hamara khana itna Ghaat hai ke deal ki zaroorat hi nahi! Aap batao kya order karna hai?". 3. Pata na ho: Guess na karo, customer ko team se connect kar do.</t>
  </si>
  <si>
    <t>Deals</t>
  </si>
  <si>
    <t>FAQ-010</t>
  </si>
  <si>
    <t>Customer Reviews &amp; Google Maps Feedback Link</t>
  </si>
  <si>
    <t>Items Ordered</t>
  </si>
  <si>
    <t>Review link: https://maps.app.goo.gl/rVvANx8pRmtXrEMj9. Khush customer: "Shukriya! Hum bohat khush hain... Ye rahi hamari Google review link, aap yahan 5-star review de sakte hain: https://maps.app.goo.gl/rVvANx8pRmtXrEMj9". Neutral: Review link do taake feedback mil sake. Naraz: Maaf kijiye, hum baat sunna chahte hain, team se connect kar deta hun.</t>
  </si>
  <si>
    <t>Support</t>
  </si>
  <si>
    <t>FAQ-011</t>
  </si>
  <si>
    <t>Subtotal</t>
  </si>
  <si>
    <t>Human Handoff Triggers &amp; Escalation Protocol</t>
  </si>
  <si>
    <t>Delivery Fee</t>
  </si>
  <si>
    <t>Handoff Triggers: Naraz/frustrated customer, 3+ same message bheje, ya keywords: complaint, shikayat, refund, cancel, manager, insan se baat, galat order, cold food, late delivery. Message: "Ruko, main aap ko hamari team se connect kar raha hun. Woh foran aap se rabta karenge. Sab theek ho jayega." Chat par "AI Handoff" label lagao aur "MANAGER ALERT: Customer naraz hai. Foran chat sambhalein" bhejo. Unknown sawal par bhi handoff karo.</t>
  </si>
  <si>
    <t>FAQ-012</t>
  </si>
  <si>
    <t>Business Information &amp; Restaurant Timings</t>
  </si>
  <si>
    <t>Total Bill</t>
  </si>
  <si>
    <t>Business Name: Cravey Crust. Location: Street No. 2, nearby AQ Khan School, Phase 4B Ghauri Town, Islamabad. Timings: 4:00 PM se 2:00 AM tak rozana open. Delivery Charges: Qabil-e-delivery areas mein bilkul FREE, bahar extra charges. Minimum Order: Koi limit nahi.</t>
  </si>
  <si>
    <t>General</t>
  </si>
  <si>
    <t>Payment Method</t>
  </si>
  <si>
    <t>FAQ-013</t>
  </si>
  <si>
    <t>Campaign Name</t>
  </si>
  <si>
    <t>Bot Quick FAQs &amp; Standard Answers</t>
  </si>
  <si>
    <t>Payment Status</t>
  </si>
  <si>
    <t>Timing: "Hum rozana 4:00 PM se 2:00 AM tak open hote hain. Jab Pukh lage, yaad kar lena." Delivery charge: "Qabil-e-delivery areas mein delivery bilkul free hai! Pet bharne ka kharcha bas khane ka hi hai." Kahan deliver karte hain: "Hum Ghouri Town se 10KM radius mein deliver karte hain. Aap ka area kaunsa hai? Main check kar deta hun." Menu: Catalog link do. Reviews: Google review link share karo.</t>
  </si>
  <si>
    <t>Cravey Mega Savings</t>
  </si>
  <si>
    <t>Order Status</t>
  </si>
  <si>
    <t>Notes</t>
  </si>
  <si>
    <t>Location Type</t>
  </si>
  <si>
    <t>Discount Rate</t>
  </si>
  <si>
    <t>Latitude</t>
  </si>
  <si>
    <t>Longitude</t>
  </si>
  <si>
    <t>Google Maps URL</t>
  </si>
  <si>
    <t>CC-1028</t>
  </si>
  <si>
    <t>Campaign Start Date</t>
  </si>
  <si>
    <t>Muhammad Okasha</t>
  </si>
  <si>
    <t>Ghauri VIP Block</t>
  </si>
  <si>
    <t>2x Cravey Zinger Burger</t>
  </si>
  <si>
    <t>Campaign End Date</t>
  </si>
  <si>
    <t>Cash on Delivery</t>
  </si>
  <si>
    <t>Pending</t>
  </si>
  <si>
    <t>New Order</t>
  </si>
  <si>
    <t>Updated order</t>
  </si>
  <si>
    <t>Exclusion Keyword</t>
  </si>
  <si>
    <t>Deal</t>
  </si>
  <si>
    <t>CC-728037</t>
  </si>
  <si>
    <t>Customer</t>
  </si>
  <si>
    <t>Faizabad, Crochet Store</t>
  </si>
  <si>
    <t>Faizabad</t>
  </si>
  <si>
    <t>1x Family Feast</t>
  </si>
  <si>
    <t>Minimum Price (PKR)</t>
  </si>
  <si>
    <t>Confirmed</t>
  </si>
  <si>
    <t>CC-966545</t>
  </si>
  <si>
    <t>New Chorangi Town, Karachi</t>
  </si>
  <si>
    <t>Karachi</t>
  </si>
  <si>
    <t>1x Cravey Zinger Burger</t>
  </si>
  <si>
    <t>Easypaisa</t>
  </si>
  <si>
    <t>Payment via Easypaisa</t>
  </si>
  <si>
    <t>CC-356327</t>
  </si>
  <si>
    <t>N/A</t>
  </si>
  <si>
    <t>CC-695471</t>
  </si>
  <si>
    <t>Muhammad Zubair</t>
  </si>
  <si>
    <t>Ghauri VIP block</t>
  </si>
  <si>
    <t>Ghauri VIP</t>
  </si>
  <si>
    <t>1x matka biryani, 1x Soft Drink (Regular 500ml)</t>
  </si>
  <si>
    <t>Item Name</t>
  </si>
  <si>
    <t>Size / Variant</t>
  </si>
  <si>
    <t>CC-864287</t>
  </si>
  <si>
    <t>Abdul Aleem</t>
  </si>
  <si>
    <t>Description / Items Included</t>
  </si>
  <si>
    <t>Price (PKR)</t>
  </si>
  <si>
    <t>1x Chicken Tikka Pizza (Small 9-inch)</t>
  </si>
  <si>
    <t>Available</t>
  </si>
  <si>
    <t>Base Price (PKR)</t>
  </si>
  <si>
    <t>Spicy Level</t>
  </si>
  <si>
    <t>CC-905728</t>
  </si>
  <si>
    <t>Premium Pizzas</t>
  </si>
  <si>
    <t>Discount %</t>
  </si>
  <si>
    <t>Discount Amount (PKR)</t>
  </si>
  <si>
    <t>Discounted Price (PKR)</t>
  </si>
  <si>
    <t>Promo Status</t>
  </si>
  <si>
    <t>Chicken Extreme</t>
  </si>
  <si>
    <t>Small</t>
  </si>
  <si>
    <t>CC-954201</t>
  </si>
  <si>
    <t>Freshly baked dough with extreme chicken toppings &amp; mozzarella cheese</t>
  </si>
  <si>
    <t>CC-206314</t>
  </si>
  <si>
    <t>Okasha</t>
  </si>
  <si>
    <t>1x Family Feast - Rs. 2,499</t>
  </si>
  <si>
    <t>Yes</t>
  </si>
  <si>
    <t>Spicy</t>
  </si>
  <si>
    <t>EasyPaisa</t>
  </si>
  <si>
    <t>Cancelled</t>
  </si>
  <si>
    <t>Cancelled by customer</t>
  </si>
  <si>
    <t>Medium</t>
  </si>
  <si>
    <t>CC-784740</t>
  </si>
  <si>
    <t>Large</t>
  </si>
  <si>
    <t>Family Feast</t>
  </si>
  <si>
    <t>Party Size</t>
  </si>
  <si>
    <t>Peri Peri Pizza</t>
  </si>
  <si>
    <t>Spicy peri peri marinated chicken, onions, peppers &amp; mozzarella</t>
  </si>
  <si>
    <t>CC-385205</t>
  </si>
  <si>
    <t>Extra Spicy</t>
  </si>
  <si>
    <t>test</t>
  </si>
  <si>
    <t>Ghauri vip block</t>
  </si>
  <si>
    <t>CC-779912</t>
  </si>
  <si>
    <t>Behari Kebab Pizza</t>
  </si>
  <si>
    <t>Traditional behari chicken kebab chunks, onions &amp; special sauce</t>
  </si>
  <si>
    <t>CC-966546</t>
  </si>
  <si>
    <t>Aziz ullah</t>
  </si>
  <si>
    <t>1x Soft Drink</t>
  </si>
  <si>
    <t>CC-966547</t>
  </si>
  <si>
    <t>Aleem</t>
  </si>
  <si>
    <t>Crown Crust</t>
  </si>
  <si>
    <t>Golden crown crust stuffed with tender chicken bites &amp; cheese</t>
  </si>
  <si>
    <t>CC-966548</t>
  </si>
  <si>
    <t>Muhammad okasha</t>
  </si>
  <si>
    <t>1x Chicken Tikka Pizza - Rs. 699</t>
  </si>
  <si>
    <t>Stuffed Crust</t>
  </si>
  <si>
    <t>Rich cheese &amp; chicken kebab stuffed ring crust pizza</t>
  </si>
  <si>
    <t>CC-966549</t>
  </si>
  <si>
    <t>Asim</t>
  </si>
  <si>
    <t>1x Pizza Meal For 4 (Party size Pizza, 1.5 liter Drink)
1x Mineral Water (Regular Bottle)</t>
  </si>
  <si>
    <t>Classic Pizzas</t>
  </si>
  <si>
    <t>Cheese Lover</t>
  </si>
  <si>
    <t>Rich pizza sauce loaded with premium 100% mozzarella cheese</t>
  </si>
  <si>
    <t>Extra ketchup aur extra sauce</t>
  </si>
  <si>
    <t>Mild</t>
  </si>
  <si>
    <t>CC-966550</t>
  </si>
  <si>
    <t>Sajjad</t>
  </si>
  <si>
    <t>Ghouri Garden</t>
  </si>
  <si>
    <t>Ghauri Garden</t>
  </si>
  <si>
    <t>1x Deal 4 (4 Zeggy Burgers), 1x Mineral Water (Regular Bottle)</t>
  </si>
  <si>
    <t>CC-966551</t>
  </si>
  <si>
    <t>Chicken Tikka</t>
  </si>
  <si>
    <t>Faizan</t>
  </si>
  <si>
    <t>Traditional chicken tikka chunks, sliced onions &amp; rich cheese</t>
  </si>
  <si>
    <t>Khanna Pull</t>
  </si>
  <si>
    <t>1x Stuffed Crust (Large)
1x Burger Meal For 2 (Meal for 2)</t>
  </si>
  <si>
    <t>CC-966552</t>
  </si>
  <si>
    <t>Arjumand yar bakht</t>
  </si>
  <si>
    <t>26 number</t>
  </si>
  <si>
    <t>1x Pizza Meal For 3</t>
  </si>
  <si>
    <t>CC-966553</t>
  </si>
  <si>
    <t>Chicken Supreme</t>
  </si>
  <si>
    <t>Tender chicken chunks, capsicum, black olives, mushrooms &amp; cheese</t>
  </si>
  <si>
    <t>Chistiyan Market</t>
  </si>
  <si>
    <t>1x macroni</t>
  </si>
  <si>
    <t>CC-966554</t>
  </si>
  <si>
    <t>1x Soft Drink (Regular)</t>
  </si>
  <si>
    <t>Chicken Fajita</t>
  </si>
  <si>
    <t>CC-966555</t>
  </si>
  <si>
    <t>Mexican style marinated fajita chicken, onions &amp; bell peppers</t>
  </si>
  <si>
    <t>1x Soft Drink (1.5 Liter)</t>
  </si>
  <si>
    <t>CC-966556</t>
  </si>
  <si>
    <t>Kashiii</t>
  </si>
  <si>
    <t>Khana Pull</t>
  </si>
  <si>
    <t>1x Burger Meal For 1</t>
  </si>
  <si>
    <t>Chicken Tandori</t>
  </si>
  <si>
    <t>Smoky tandoori chicken chunks, onions &amp; spicy tandoori sauce</t>
  </si>
  <si>
    <t>CC-966557</t>
  </si>
  <si>
    <t>Kashif</t>
  </si>
  <si>
    <t>1x Crown Crust (Party Size)</t>
  </si>
  <si>
    <t>CC-966558</t>
  </si>
  <si>
    <t>Pizza Deals</t>
  </si>
  <si>
    <t>Pizza Meal For 1</t>
  </si>
  <si>
    <t>Meal for 1</t>
  </si>
  <si>
    <t>Small Pizza, Regular Drink</t>
  </si>
  <si>
    <t>Ghauri Town</t>
  </si>
  <si>
    <t>Ghauri Town all phases</t>
  </si>
  <si>
    <t>Customizable</t>
  </si>
  <si>
    <t>1x Peri Peri Pizza (Party Size)</t>
  </si>
  <si>
    <t>Pizza Meal For 2</t>
  </si>
  <si>
    <t>Meal for 2</t>
  </si>
  <si>
    <t>Regular Pizza, 2 Regular Drink</t>
  </si>
  <si>
    <t>Discounted order</t>
  </si>
  <si>
    <t>CC-966559</t>
  </si>
  <si>
    <t>Pizza Meal For 3</t>
  </si>
  <si>
    <t>Meal for 3</t>
  </si>
  <si>
    <t>Large Pizza, 1 liter Drink</t>
  </si>
  <si>
    <t>1x Crown Crust (Medium)</t>
  </si>
  <si>
    <t>Pizza Meal For 4</t>
  </si>
  <si>
    <t>Meal for 4</t>
  </si>
  <si>
    <t>Party size Pizza, 1.5 liter Drink</t>
  </si>
  <si>
    <t>CC-966560</t>
  </si>
  <si>
    <t>Burger Deals</t>
  </si>
  <si>
    <t>Burger Meal For 1</t>
  </si>
  <si>
    <t>Zinger Burger, Regular Fries, Regular Drink</t>
  </si>
  <si>
    <t>1x Chicken Fajita (Medium), 1x Soft Drink (1.5 Liter)</t>
  </si>
  <si>
    <t>Burger Meal For 2</t>
  </si>
  <si>
    <t>2 Zinger Burger, Regular Fries, 2 Regular Drink</t>
  </si>
  <si>
    <t>CC-966561</t>
  </si>
  <si>
    <t>Burger Meal For 3</t>
  </si>
  <si>
    <t>Shah G Guest House, Paracha Chowk</t>
  </si>
  <si>
    <t>3 Zinger Burger, 3 Chicken Piece, 1 Litre Drink</t>
  </si>
  <si>
    <t>Cravey 2.0 Deals</t>
  </si>
  <si>
    <t>Deal 1</t>
  </si>
  <si>
    <t>Combo</t>
  </si>
  <si>
    <t>2 Small Pizza, 2 Reg Drinks</t>
  </si>
  <si>
    <t>Shah G Guest House Paracha Chowk</t>
  </si>
  <si>
    <t>CC-966562</t>
  </si>
  <si>
    <t>Deal 2</t>
  </si>
  <si>
    <t>Hashim</t>
  </si>
  <si>
    <t>2 Medium Pizza, 1L Drink</t>
  </si>
  <si>
    <t>1x Chicken Fajita (Medium)
1x Mineral Water (Regular Bottle)</t>
  </si>
  <si>
    <t>Deal 3</t>
  </si>
  <si>
    <t>2 Large Pizza, 1L Drink</t>
  </si>
  <si>
    <t>Deal 4</t>
  </si>
  <si>
    <t>Burger Feast</t>
  </si>
  <si>
    <t>4 Zeggy Burgers</t>
  </si>
  <si>
    <t>CC-966563</t>
  </si>
  <si>
    <t>Sudhran road gali number 5 near farooq e azam road</t>
  </si>
  <si>
    <t>Deal 5</t>
  </si>
  <si>
    <t>Sudran Road</t>
  </si>
  <si>
    <t>1x Peri Peri Pizza (Medium)</t>
  </si>
  <si>
    <t>3 Zinger Burger, 1L Drink</t>
  </si>
  <si>
    <t>Drinks</t>
  </si>
  <si>
    <t>Soft Drink</t>
  </si>
  <si>
    <t>Regular</t>
  </si>
  <si>
    <t>Chilled soft drink (Pepsi / 7Up / Mirinda)</t>
  </si>
  <si>
    <t>CC-966564</t>
  </si>
  <si>
    <t>Non-Spicy</t>
  </si>
  <si>
    <t>Shahzaib</t>
  </si>
  <si>
    <t>Can</t>
  </si>
  <si>
    <t>Chilled soft drink can 250ml</t>
  </si>
  <si>
    <t>Taramari</t>
  </si>
  <si>
    <t>1x Pizza Meal For 4 (Party size Pizza, 1.5 liter Drink)</t>
  </si>
  <si>
    <t>1 Liter</t>
  </si>
  <si>
    <t>Chilled soft drink 1 Liter bottle</t>
  </si>
  <si>
    <t>1.5 Liter</t>
  </si>
  <si>
    <t>Chilled soft drink 1.5 Liter bottle</t>
  </si>
  <si>
    <t>CC-966565</t>
  </si>
  <si>
    <t>Mineral Water</t>
  </si>
  <si>
    <t>Paracha chowk shah g guest house, Taramri</t>
  </si>
  <si>
    <t>Regular Bottle</t>
  </si>
  <si>
    <t>Taramri</t>
  </si>
  <si>
    <t>Chilled purified mineral water bottle</t>
  </si>
  <si>
    <t>1x Behari Kebab Pizza (Small)</t>
  </si>
  <si>
    <t>CC-966566</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</si>
</sst>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0.0%"/>
    <numFmt numFmtId="165" formatCode="yyyy-mm-dd"/>
    <numFmt numFmtId="166" formatCode="yyyy-mm-dd hh:mm:ss"/>
    <numFmt numFmtId="167" formatCode="&quot;Rs. &quot;#,##0"/>
    <numFmt numFmtId="168" formatCode="&quot;Rs. &quot;#,##0.00"/>
  </numFmts>
  <fonts count="10">
    <font>
      <sz val="10.0"/>
      <color rgb="FF000000"/>
      <name val="Arial"/>
      <scheme val="minor"/>
    </font>
    <font>
      <b/>
      <sz val="11.0"/>
      <color rgb="FFFFFFFF"/>
      <name val="Calibri"/>
    </font>
    <font>
      <b/>
      <sz val="10.0"/>
      <color rgb="FFFFFFFF"/>
      <name val="Roboto"/>
    </font>
    <font>
      <sz val="11.0"/>
      <color theme="1"/>
      <name val="Calibri"/>
    </font>
    <font>
      <color theme="1"/>
      <name val="Arial"/>
      <scheme val="minor"/>
    </font>
    <font>
      <b/>
      <sz val="10.0"/>
      <color theme="1"/>
      <name val="Roboto"/>
    </font>
    <font>
      <sz val="10.0"/>
      <color theme="1"/>
      <name val="Roboto"/>
    </font>
    <font>
      <sz val="10.0"/>
      <color theme="1"/>
      <name val="Calibri"/>
    </font>
    <font>
      <sz val="10.0"/>
      <color rgb="FF000000"/>
      <name val="Roboto"/>
    </font>
    <font>
      <b/>
      <sz val="10.0"/>
      <color rgb="FFFFFFFF"/>
      <name val="Arial"/>
      <scheme val="minor"/>
    </font>
  </fonts>
  <fills count="7">
    <fill>
      <patternFill patternType="none"/>
    </fill>
    <fill>
      <patternFill patternType="lightGray"/>
    </fill>
    <fill>
      <patternFill patternType="solid">
        <fgColor rgb="FF1F4E79"/>
        <bgColor rgb="FF1F4E79"/>
      </patternFill>
    </fill>
    <fill>
      <patternFill patternType="solid">
        <fgColor rgb="FF1F4E78"/>
        <bgColor rgb="FF1F4E78"/>
      </patternFill>
    </fill>
    <fill>
      <patternFill patternType="solid">
        <fgColor rgb="FFFFFFFF"/>
        <bgColor rgb="FFFFFFFF"/>
      </patternFill>
    </fill>
    <fill>
      <patternFill patternType="solid">
        <fgColor rgb="FFF2F4F9"/>
        <bgColor rgb="FFF2F4F9"/>
      </patternFill>
    </fill>
    <fill>
      <patternFill patternType="solid">
        <fgColor rgb="FF1B3964"/>
        <bgColor rgb="FF1B3964"/>
      </patternFill>
    </fill>
  </fills>
  <borders count="19">
    <border/>
    <border>
      <left style="thin">
        <color rgb="FFBDC1C6"/>
      </left>
      <right style="thin">
        <color rgb="FFD9DDE2"/>
      </right>
      <top style="thin">
        <color rgb="FFBDC1C6"/>
      </top>
      <bottom style="thin">
        <color rgb="FFD9DDE2"/>
      </bottom>
    </border>
    <border>
      <bottom style="thin">
        <color rgb="FFD9E1F2"/>
      </bottom>
    </border>
    <border>
      <left style="thin">
        <color rgb="FFD9DDE2"/>
      </left>
      <right style="thin">
        <color rgb="FFBDC1C6"/>
      </right>
      <top style="thin">
        <color rgb="FFBDC1C6"/>
      </top>
      <bottom style="thin">
        <color rgb="FFD9DDE2"/>
      </bottom>
    </border>
    <border>
      <left style="thin">
        <color rgb="FFBDC1C6"/>
      </left>
      <right style="thin">
        <color rgb="FFD9DDE2"/>
      </right>
      <top style="thin">
        <color rgb="FFD9DDE2"/>
      </top>
      <bottom style="thin">
        <color rgb="FFD9DDE2"/>
      </bottom>
    </border>
    <border>
      <left style="thin">
        <color rgb="FFD9DDE2"/>
      </left>
      <right style="thin">
        <color rgb="FFBDC1C6"/>
      </right>
      <top style="thin">
        <color rgb="FFD9DDE2"/>
      </top>
      <bottom style="thin">
        <color rgb="FFD9DDE2"/>
      </bottom>
    </border>
    <border>
      <left style="thin">
        <color rgb="FFBDC1C6"/>
      </left>
      <right style="thin">
        <color rgb="FFD9DDE2"/>
      </right>
      <top style="thin">
        <color rgb="FFD9DDE2"/>
      </top>
    </border>
    <border>
      <left style="thin">
        <color rgb="FFD9DDE2"/>
      </left>
      <right style="thin">
        <color rgb="FFBDC1C6"/>
      </right>
      <top style="thin">
        <color rgb="FFD9DDE2"/>
      </top>
    </border>
    <border>
      <left style="thin">
        <color rgb="FFBDC1C6"/>
      </left>
      <right style="thin">
        <color rgb="FFD9DDE2"/>
      </right>
      <top style="thin">
        <color rgb="FFD9DDE2"/>
      </top>
      <bottom style="thin">
        <color rgb="FFBDC1C6"/>
      </bottom>
    </border>
    <border>
      <left style="thin">
        <color rgb="FFD9DDE2"/>
      </left>
      <right style="thin">
        <color rgb="FFBDC1C6"/>
      </right>
      <top style="thin">
        <color rgb="FFD9DDE2"/>
      </top>
      <bottom style="thin">
        <color rgb="FFBDC1C6"/>
      </bottom>
    </border>
    <border>
      <left style="thin">
        <color rgb="FFBDC1C6"/>
      </left>
      <top style="thin">
        <color rgb="FF1F4E79"/>
      </top>
      <bottom style="thin">
        <color rgb="FFE5E8EB"/>
      </bottom>
    </border>
    <border>
      <top style="thin">
        <color rgb="FF1F4E79"/>
      </top>
      <bottom style="thin">
        <color rgb="FFE5E8EB"/>
      </bottom>
    </border>
    <border>
      <right style="thin">
        <color rgb="FFBDC1C6"/>
      </right>
      <top style="thin">
        <color rgb="FF1F4E79"/>
      </top>
      <bottom style="thin">
        <color rgb="FFE5E8EB"/>
      </bottom>
    </border>
    <border>
      <left style="thin">
        <color rgb="FFBDC1C6"/>
      </left>
      <top style="thin">
        <color rgb="FFE5E8EB"/>
      </top>
      <bottom style="thin">
        <color rgb="FFE5E8EB"/>
      </bottom>
    </border>
    <border>
      <top style="thin">
        <color rgb="FFE5E8EB"/>
      </top>
      <bottom style="thin">
        <color rgb="FFE5E8EB"/>
      </bottom>
    </border>
    <border>
      <right style="thin">
        <color rgb="FFBDC1C6"/>
      </right>
      <top style="thin">
        <color rgb="FFE5E8EB"/>
      </top>
      <bottom style="thin">
        <color rgb="FFE5E8EB"/>
      </bottom>
    </border>
    <border>
      <left style="thin">
        <color rgb="FFBDC1C6"/>
      </left>
      <top style="thin">
        <color rgb="FFE5E8EB"/>
      </top>
      <bottom style="thin">
        <color rgb="FF1F4E79"/>
      </bottom>
    </border>
    <border>
      <top style="thin">
        <color rgb="FFE5E8EB"/>
      </top>
      <bottom style="thin">
        <color rgb="FF1F4E79"/>
      </bottom>
    </border>
    <border>
      <right style="thin">
        <color rgb="FFBDC1C6"/>
      </right>
      <top style="thin">
        <color rgb="FFE5E8EB"/>
      </top>
      <bottom style="thin">
        <color rgb="FF1F4E79"/>
      </bottom>
    </border>
  </borders>
  <cellStyleXfs count="1">
    <xf borderId="0" fillId="0" fontId="0" numFmtId="0" applyAlignment="1" applyFont="1"/>
  </cellStyleXfs>
  <cellXfs count="57">
    <xf borderId="0" fillId="0" fontId="0" numFmtId="0" xfId="0" applyAlignment="1" applyFont="1">
      <alignment readingOrder="0" shrinkToFit="0" vertical="bottom" wrapText="0"/>
    </xf>
    <xf borderId="2" fillId="3" fontId="1" numFmtId="0" xfId="0" applyAlignment="1" applyBorder="1" applyFill="1" applyFont="1">
      <alignment readingOrder="0" vertical="top"/>
    </xf>
    <xf borderId="1" fillId="2" fontId="2" numFmtId="0" xfId="0" applyAlignment="1" applyBorder="1" applyFill="1" applyFont="1">
      <alignment horizontal="left" readingOrder="0" vertical="center"/>
    </xf>
    <xf borderId="3" fillId="2" fontId="2" numFmtId="0" xfId="0" applyAlignment="1" applyBorder="1" applyFill="1" applyFont="1">
      <alignment horizontal="left" readingOrder="0" vertical="center"/>
    </xf>
    <xf borderId="2" fillId="0" fontId="3" numFmtId="0" xfId="0" applyAlignment="1" applyBorder="1" applyFont="1">
      <alignment readingOrder="0" shrinkToFit="0" vertical="top" wrapText="1"/>
    </xf>
    <xf borderId="0" fillId="4" fontId="4" numFmtId="0" xfId="0" applyFill="1" applyFont="1"/>
    <xf borderId="2" fillId="3" fontId="1" numFmtId="0" xfId="0" applyAlignment="1" applyBorder="1" applyFill="1" applyFont="1">
      <alignment horizontal="center" readingOrder="0" shrinkToFit="0" vertical="center" wrapText="1"/>
    </xf>
    <xf borderId="4" fillId="5" fontId="5" numFmtId="0" xfId="0" applyAlignment="1" applyBorder="1" applyFill="1" applyFont="1">
      <alignment horizontal="left" readingOrder="0" vertical="center"/>
    </xf>
    <xf borderId="5" fillId="4" fontId="6" numFmtId="0" xfId="0" applyAlignment="1" applyBorder="1" applyFill="1" applyFont="1">
      <alignment horizontal="center" readingOrder="0" vertical="center"/>
    </xf>
    <xf borderId="5" fillId="4" fontId="6" numFmtId="0" xfId="0" applyAlignment="1" applyBorder="1" applyFill="1" applyFont="1">
      <alignment horizontal="left" readingOrder="0" vertical="center"/>
    </xf>
    <xf borderId="2" fillId="3" fontId="1" numFmtId="0" xfId="0" applyAlignment="1" applyBorder="1" applyFill="1" applyFont="1">
      <alignment horizontal="center" shrinkToFit="0" vertical="center" wrapText="1"/>
    </xf>
    <xf borderId="5" fillId="4" fontId="6" numFmtId="164" xfId="0" applyAlignment="1" applyBorder="1" applyFill="1" applyFont="1" applyNumberFormat="1">
      <alignment horizontal="left" readingOrder="0" vertical="center"/>
    </xf>
    <xf borderId="0" fillId="0" fontId="4" numFmtId="0" xfId="0" applyAlignment="1" applyFont="1">
      <alignment readingOrder="0"/>
    </xf>
    <xf borderId="5" fillId="4" fontId="6" numFmtId="165" xfId="0" applyAlignment="1" applyBorder="1" applyFill="1" applyFont="1" applyNumberFormat="1">
      <alignment horizontal="left" readingOrder="0" vertical="center"/>
    </xf>
    <xf borderId="0" fillId="0" fontId="4" numFmtId="166" xfId="0" applyAlignment="1" applyFont="1" applyNumberFormat="1">
      <alignment readingOrder="0"/>
    </xf>
    <xf borderId="0" fillId="0" fontId="7" numFmtId="0" xfId="0" applyAlignment="1" applyFont="1">
      <alignment vertical="center"/>
    </xf>
    <xf borderId="6" fillId="5" fontId="5" numFmtId="0" xfId="0" applyAlignment="1" applyBorder="1" applyFill="1" applyFont="1">
      <alignment horizontal="left" readingOrder="0" vertical="center"/>
    </xf>
    <xf borderId="7" fillId="4" fontId="6" numFmtId="0" xfId="0" applyAlignment="1" applyBorder="1" applyFill="1" applyFont="1">
      <alignment horizontal="left" readingOrder="0" vertical="center"/>
    </xf>
    <xf borderId="8" fillId="5" fontId="5" numFmtId="0" xfId="0" applyAlignment="1" applyBorder="1" applyFill="1" applyFont="1">
      <alignment horizontal="left" vertical="center"/>
    </xf>
    <xf borderId="9" fillId="4" fontId="6" numFmtId="167" xfId="0" applyAlignment="1" applyBorder="1" applyFill="1" applyFont="1" applyNumberFormat="1">
      <alignment horizontal="left" readingOrder="0" vertical="center"/>
    </xf>
    <xf borderId="0" fillId="2" fontId="2" numFmtId="0" xfId="0" applyAlignment="1" applyFill="1" applyFont="1">
      <alignment readingOrder="0" shrinkToFit="0" vertical="center" wrapText="1"/>
    </xf>
    <xf borderId="10" fillId="2" fontId="2" numFmtId="0" xfId="0" applyAlignment="1" applyBorder="1" applyFill="1" applyFont="1">
      <alignment readingOrder="0" shrinkToFit="0" vertical="center" wrapText="1"/>
    </xf>
    <xf borderId="11" fillId="2" fontId="2" numFmtId="0" xfId="0" applyAlignment="1" applyBorder="1" applyFill="1" applyFont="1">
      <alignment readingOrder="0" shrinkToFit="0" vertical="center" wrapText="1"/>
    </xf>
    <xf borderId="11" fillId="2" fontId="2" numFmtId="0" xfId="0" applyAlignment="1" applyBorder="1" applyFill="1" applyFont="1">
      <alignment horizontal="right" readingOrder="0" shrinkToFit="0" vertical="center" wrapText="1"/>
    </xf>
    <xf borderId="0" fillId="0" fontId="6" numFmtId="0" xfId="0" applyAlignment="1" applyFont="1">
      <alignment readingOrder="0" vertical="center"/>
    </xf>
    <xf borderId="12" fillId="2" fontId="2" numFmtId="0" xfId="0" applyAlignment="1" applyBorder="1" applyFill="1" applyFont="1">
      <alignment horizontal="center" readingOrder="0" shrinkToFit="0" vertical="center" wrapText="1"/>
    </xf>
    <xf borderId="0" fillId="0" fontId="6" numFmtId="167" xfId="0" applyAlignment="1" applyFont="1" applyNumberFormat="1">
      <alignment horizontal="right" readingOrder="0" vertical="center"/>
    </xf>
    <xf borderId="0" fillId="0" fontId="6" numFmtId="0" xfId="0" applyAlignment="1" applyFont="1">
      <alignment horizontal="center" readingOrder="0" vertical="center"/>
    </xf>
    <xf borderId="0" fillId="0" fontId="4" numFmtId="0" xfId="0" applyFont="1"/>
    <xf borderId="0" fillId="0" fontId="4" numFmtId="0" xfId="0" applyAlignment="1" applyFont="1">
      <alignment readingOrder="0"/>
    </xf>
    <xf borderId="13" fillId="4" fontId="8" numFmtId="0" xfId="0" applyAlignment="1" applyBorder="1" applyFill="1" applyFont="1">
      <alignment horizontal="left" readingOrder="0" shrinkToFit="0" vertical="center" wrapText="1"/>
    </xf>
    <xf borderId="14" fillId="4" fontId="8" numFmtId="0" xfId="0" applyAlignment="1" applyBorder="1" applyFill="1" applyFont="1">
      <alignment horizontal="left" readingOrder="0" shrinkToFit="0" vertical="center" wrapText="1"/>
    </xf>
    <xf borderId="14" fillId="4" fontId="8" numFmtId="168" xfId="0" applyAlignment="1" applyBorder="1" applyFill="1" applyFont="1" applyNumberFormat="1">
      <alignment horizontal="right" readingOrder="0" shrinkToFit="0" vertical="center" wrapText="1"/>
    </xf>
    <xf borderId="14" fillId="4" fontId="8" numFmtId="0" xfId="0" applyAlignment="1" applyBorder="1" applyFill="1" applyFont="1">
      <alignment horizontal="center" readingOrder="0" shrinkToFit="0" vertical="center" wrapText="1"/>
    </xf>
    <xf borderId="14" fillId="4" fontId="8" numFmtId="164" xfId="0" applyAlignment="1" applyBorder="1" applyFill="1" applyFont="1" applyNumberFormat="1">
      <alignment horizontal="right" readingOrder="0" shrinkToFit="0" vertical="center" wrapText="1"/>
    </xf>
    <xf borderId="15" fillId="6" fontId="6" numFmtId="0" xfId="0" applyAlignment="1" applyBorder="1" applyFill="1" applyFont="1">
      <alignment horizontal="center" readingOrder="0" shrinkToFit="0" vertical="center" wrapText="1"/>
    </xf>
    <xf borderId="0" fillId="4" fontId="9" numFmtId="0" xfId="0" applyAlignment="1" applyFill="1" applyFont="1">
      <alignment horizontal="center" readingOrder="0" shrinkToFit="0" vertical="center" wrapText="1"/>
    </xf>
    <xf borderId="13" fillId="4" fontId="8" numFmtId="0" xfId="0" applyAlignment="1" applyBorder="1" applyFill="1" applyFont="1">
      <alignment horizontal="left"/>
    </xf>
    <xf borderId="14" fillId="4" fontId="8" numFmtId="0" xfId="0" applyAlignment="1" applyBorder="1" applyFill="1" applyFont="1">
      <alignment horizontal="left"/>
    </xf>
    <xf borderId="14" fillId="4" fontId="8" numFmtId="168" xfId="0" applyAlignment="1" applyBorder="1" applyFill="1" applyFont="1" applyNumberFormat="1">
      <alignment horizontal="right"/>
    </xf>
    <xf borderId="14" fillId="4" fontId="8" numFmtId="0" xfId="0" applyAlignment="1" applyBorder="1" applyFill="1" applyFont="1">
      <alignment horizontal="center"/>
    </xf>
    <xf borderId="14" fillId="4" fontId="8" numFmtId="164" xfId="0" applyAlignment="1" applyBorder="1" applyFill="1" applyFont="1" applyNumberFormat="1">
      <alignment horizontal="right"/>
    </xf>
    <xf borderId="15" fillId="0" fontId="6" numFmtId="0" xfId="0" applyAlignment="1" applyBorder="1" applyFont="1">
      <alignment horizontal="center"/>
    </xf>
    <xf borderId="0" fillId="4" fontId="4" numFmtId="164" xfId="0" applyAlignment="1" applyFill="1" applyFont="1" applyNumberFormat="1">
      <alignment horizontal="right"/>
    </xf>
    <xf borderId="0" fillId="4" fontId="4" numFmtId="167" xfId="0" applyAlignment="1" applyFill="1" applyFont="1" applyNumberFormat="1">
      <alignment horizontal="right"/>
    </xf>
    <xf borderId="0" fillId="4" fontId="4" numFmtId="0" xfId="0" applyAlignment="1" applyFill="1" applyFont="1">
      <alignment horizontal="center"/>
    </xf>
    <xf borderId="0" fillId="0" fontId="6" numFmtId="0" xfId="0" applyAlignment="1" applyFont="1">
      <alignment horizontal="right" readingOrder="0" vertical="center"/>
    </xf>
    <xf borderId="16" fillId="0" fontId="6" numFmtId="0" xfId="0" applyAlignment="1" applyBorder="1" applyFont="1">
      <alignment horizontal="left"/>
    </xf>
    <xf borderId="17" fillId="0" fontId="6" numFmtId="0" xfId="0" applyAlignment="1" applyBorder="1" applyFont="1">
      <alignment horizontal="left"/>
    </xf>
    <xf borderId="17" fillId="0" fontId="6" numFmtId="168" xfId="0" applyAlignment="1" applyBorder="1" applyFont="1" applyNumberFormat="1">
      <alignment horizontal="right"/>
    </xf>
    <xf borderId="17" fillId="0" fontId="6" numFmtId="0" xfId="0" applyAlignment="1" applyBorder="1" applyFont="1">
      <alignment horizontal="center"/>
    </xf>
    <xf borderId="17" fillId="0" fontId="6" numFmtId="164" xfId="0" applyAlignment="1" applyBorder="1" applyFont="1" applyNumberFormat="1">
      <alignment horizontal="right"/>
    </xf>
    <xf borderId="18" fillId="0" fontId="6" numFmtId="0" xfId="0" applyAlignment="1" applyBorder="1" applyFont="1">
      <alignment horizontal="center"/>
    </xf>
    <xf borderId="0" fillId="0" fontId="6" numFmtId="0" xfId="0" applyAlignment="1" applyFont="1">
      <alignment horizontal="left"/>
    </xf>
    <xf borderId="0" fillId="0" fontId="6" numFmtId="168" xfId="0" applyAlignment="1" applyFont="1" applyNumberFormat="1">
      <alignment horizontal="right"/>
    </xf>
    <xf borderId="0" fillId="0" fontId="6" numFmtId="0" xfId="0" applyAlignment="1" applyFont="1">
      <alignment horizontal="center"/>
    </xf>
    <xf borderId="0" fillId="0" fontId="6" numFmtId="164" xfId="0" applyAlignment="1" applyFont="1" applyNumberFormat="1">
      <alignment horizontal="right"/>
    </xf>
  </cellXfs>
  <cellStyles count="1">
    <cellStyle xfId="0" name="Normal" builtinId="0"/>
  </cellStyles>
  <dxfs count="12">
    <dxf>
      <font/>
      <fill>
        <patternFill patternType="none"/>
      </fill>
      <border/>
    </dxf>
    <dxf>
      <font/>
      <fill>
        <patternFill patternType="solid">
          <fgColor rgb="FF1F4E79"/>
          <bgColor rgb="FF1F4E79"/>
        </patternFill>
      </fill>
      <border/>
    </dxf>
    <dxf>
      <font/>
      <fill>
        <patternFill patternType="solid">
          <fgColor rgb="FFFFFFFF"/>
          <bgColor rgb="FFFFFFFF"/>
        </patternFill>
      </fill>
      <border/>
    </dxf>
    <dxf>
      <font/>
      <fill>
        <patternFill patternType="solid">
          <fgColor rgb="FFF4F7FA"/>
          <bgColor rgb="FFF4F7FA"/>
        </patternFill>
      </fill>
      <border/>
    </dxf>
    <dxf>
      <font>
        <strike/>
      </font>
      <fill>
        <patternFill patternType="solid">
          <fgColor rgb="FFF4CCCC"/>
          <bgColor rgb="FFF4CCCC"/>
        </patternFill>
      </fill>
      <border/>
    </dxf>
    <dxf>
      <font>
        <b/>
        <color rgb="FF137333"/>
      </font>
      <fill>
        <patternFill patternType="solid">
          <fgColor rgb="FFD9EFDF"/>
          <bgColor rgb="FFD9EFDF"/>
        </patternFill>
      </fill>
      <border/>
    </dxf>
    <dxf>
      <font>
        <b/>
        <color rgb="FF664D03"/>
      </font>
      <fill>
        <patternFill patternType="solid">
          <fgColor rgb="FFFFF3CD"/>
          <bgColor rgb="FFFFF3CD"/>
        </patternFill>
      </fill>
      <border/>
    </dxf>
    <dxf>
      <font>
        <b/>
        <color rgb="FF841F29"/>
      </font>
      <fill>
        <patternFill patternType="solid">
          <fgColor rgb="FFF8D6DA"/>
          <bgColor rgb="FFF8D6DA"/>
        </patternFill>
      </fill>
      <border/>
    </dxf>
    <dxf>
      <font>
        <b/>
        <color rgb="FFC5211F"/>
      </font>
      <fill>
        <patternFill patternType="solid">
          <fgColor rgb="FFFBE8E6"/>
          <bgColor rgb="FFFBE8E6"/>
        </patternFill>
      </fill>
      <border/>
    </dxf>
    <dxf>
      <font>
        <b/>
        <color rgb="FF485056"/>
      </font>
      <fill>
        <patternFill patternType="solid">
          <fgColor rgb="FFE9EBEE"/>
          <bgColor rgb="FFE9EBEE"/>
        </patternFill>
      </fill>
      <border/>
    </dxf>
    <dxf>
      <font>
        <b/>
        <color rgb="FF1A73E8"/>
      </font>
      <fill>
        <patternFill patternType="solid">
          <fgColor rgb="FFE8EFFD"/>
          <bgColor rgb="FFE8EFFD"/>
        </patternFill>
      </fill>
      <border/>
    </dxf>
    <dxf>
      <font>
        <b/>
        <color rgb="FF512DA8"/>
      </font>
      <fill>
        <patternFill patternType="solid">
          <fgColor rgb="FFEDE8F7"/>
          <bgColor rgb="FFEDE8F7"/>
        </patternFill>
      </fill>
      <border/>
    </dxf>
  </dxfs>
  <tableStyles count="1">
    <tableStyle count="3" pivot="0" name="Menu-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G60" displayName="Table_1" name="Table_1" id="1">
  <tableColumns count="7">
    <tableColumn name="Category" id="1"/>
    <tableColumn name="Item Name" id="2"/>
    <tableColumn name="Size / Variant" id="3"/>
    <tableColumn name="Description / Items Included" id="4"/>
    <tableColumn name="Price (PKR)" id="5"/>
    <tableColumn name="Available" id="6"/>
    <tableColumn name="Spicy Level" id="7"/>
  </tableColumns>
  <tableStyleInfo name="Menu-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63"/>
    <col customWidth="1" min="2" max="2" width="22.63"/>
    <col customWidth="1" min="3" max="3" width="15.13"/>
    <col customWidth="1" min="4" max="4" width="55.0"/>
    <col customWidth="1" min="5" max="5" width="9.63"/>
    <col customWidth="1" min="6" max="6" width="11.38"/>
    <col customWidth="1" min="7" max="7" width="15.13"/>
    <col customWidth="1" min="8" max="8" width="16.25"/>
  </cols>
  <sheetData>
    <row r="1" ht="27.0" customHeight="1">
      <c r="A1" s="20" t="s">
        <v>4</v>
      </c>
      <c r="B1" s="20" t="s">
        <v>107</v>
      </c>
      <c r="C1" s="20" t="s">
        <v>108</v>
      </c>
      <c r="D1" s="20" t="s">
        <v>111</v>
      </c>
      <c r="E1" s="20" t="s">
        <v>112</v>
      </c>
      <c r="F1" s="20" t="s">
        <v>114</v>
      </c>
      <c r="G1" s="20" t="s">
        <v>116</v>
      </c>
    </row>
    <row r="2" ht="19.5" customHeight="1">
      <c r="A2" s="24" t="s">
        <v>118</v>
      </c>
      <c r="B2" s="24" t="s">
        <v>123</v>
      </c>
      <c r="C2" s="24" t="s">
        <v>124</v>
      </c>
      <c r="D2" s="24" t="s">
        <v>126</v>
      </c>
      <c r="E2" s="26">
        <v>699.0</v>
      </c>
      <c r="F2" s="27" t="s">
        <v>130</v>
      </c>
      <c r="G2" s="27" t="s">
        <v>131</v>
      </c>
    </row>
    <row r="3" ht="19.5" customHeight="1">
      <c r="A3" s="24" t="s">
        <v>118</v>
      </c>
      <c r="B3" s="24" t="s">
        <v>123</v>
      </c>
      <c r="C3" s="24" t="s">
        <v>135</v>
      </c>
      <c r="D3" s="24" t="s">
        <v>126</v>
      </c>
      <c r="E3" s="26">
        <v>1399.0</v>
      </c>
      <c r="F3" s="27" t="s">
        <v>130</v>
      </c>
      <c r="G3" s="27" t="s">
        <v>131</v>
      </c>
    </row>
    <row r="4" ht="19.5" customHeight="1">
      <c r="A4" s="24" t="s">
        <v>118</v>
      </c>
      <c r="B4" s="24" t="s">
        <v>123</v>
      </c>
      <c r="C4" s="24" t="s">
        <v>137</v>
      </c>
      <c r="D4" s="24" t="s">
        <v>126</v>
      </c>
      <c r="E4" s="26">
        <v>1799.0</v>
      </c>
      <c r="F4" s="27" t="s">
        <v>130</v>
      </c>
      <c r="G4" s="27" t="s">
        <v>131</v>
      </c>
    </row>
    <row r="5" ht="19.5" customHeight="1">
      <c r="A5" s="24" t="s">
        <v>118</v>
      </c>
      <c r="B5" s="24" t="s">
        <v>123</v>
      </c>
      <c r="C5" s="24" t="s">
        <v>139</v>
      </c>
      <c r="D5" s="24" t="s">
        <v>126</v>
      </c>
      <c r="E5" s="26">
        <v>2799.0</v>
      </c>
      <c r="F5" s="27" t="s">
        <v>130</v>
      </c>
      <c r="G5" s="27" t="s">
        <v>131</v>
      </c>
    </row>
    <row r="6" ht="19.5" customHeight="1">
      <c r="A6" s="24" t="s">
        <v>118</v>
      </c>
      <c r="B6" s="24" t="s">
        <v>140</v>
      </c>
      <c r="C6" s="24" t="s">
        <v>124</v>
      </c>
      <c r="D6" s="24" t="s">
        <v>141</v>
      </c>
      <c r="E6" s="26">
        <v>699.0</v>
      </c>
      <c r="F6" s="27" t="s">
        <v>130</v>
      </c>
      <c r="G6" s="27" t="s">
        <v>143</v>
      </c>
    </row>
    <row r="7" ht="19.5" customHeight="1">
      <c r="A7" s="24" t="s">
        <v>118</v>
      </c>
      <c r="B7" s="24" t="s">
        <v>140</v>
      </c>
      <c r="C7" s="24" t="s">
        <v>135</v>
      </c>
      <c r="D7" s="24" t="s">
        <v>141</v>
      </c>
      <c r="E7" s="26">
        <v>1399.0</v>
      </c>
      <c r="F7" s="27" t="s">
        <v>130</v>
      </c>
      <c r="G7" s="27" t="s">
        <v>143</v>
      </c>
    </row>
    <row r="8" ht="19.5" customHeight="1">
      <c r="A8" s="24" t="s">
        <v>118</v>
      </c>
      <c r="B8" s="24" t="s">
        <v>140</v>
      </c>
      <c r="C8" s="24" t="s">
        <v>137</v>
      </c>
      <c r="D8" s="24" t="s">
        <v>141</v>
      </c>
      <c r="E8" s="26">
        <v>1799.0</v>
      </c>
      <c r="F8" s="27" t="s">
        <v>130</v>
      </c>
      <c r="G8" s="27" t="s">
        <v>143</v>
      </c>
    </row>
    <row r="9" ht="19.5" customHeight="1">
      <c r="A9" s="24" t="s">
        <v>118</v>
      </c>
      <c r="B9" s="24" t="s">
        <v>140</v>
      </c>
      <c r="C9" s="24" t="s">
        <v>139</v>
      </c>
      <c r="D9" s="24" t="s">
        <v>141</v>
      </c>
      <c r="E9" s="26">
        <v>2799.0</v>
      </c>
      <c r="F9" s="27" t="s">
        <v>130</v>
      </c>
      <c r="G9" s="27" t="s">
        <v>143</v>
      </c>
    </row>
    <row r="10" ht="19.5" customHeight="1">
      <c r="A10" s="24" t="s">
        <v>118</v>
      </c>
      <c r="B10" s="24" t="s">
        <v>147</v>
      </c>
      <c r="C10" s="24" t="s">
        <v>124</v>
      </c>
      <c r="D10" s="24" t="s">
        <v>148</v>
      </c>
      <c r="E10" s="26">
        <v>699.0</v>
      </c>
      <c r="F10" s="27" t="s">
        <v>130</v>
      </c>
      <c r="G10" s="27" t="s">
        <v>135</v>
      </c>
    </row>
    <row r="11" ht="19.5" customHeight="1">
      <c r="A11" s="24" t="s">
        <v>118</v>
      </c>
      <c r="B11" s="24" t="s">
        <v>147</v>
      </c>
      <c r="C11" s="24" t="s">
        <v>135</v>
      </c>
      <c r="D11" s="24" t="s">
        <v>148</v>
      </c>
      <c r="E11" s="26">
        <v>1399.0</v>
      </c>
      <c r="F11" s="27" t="s">
        <v>130</v>
      </c>
      <c r="G11" s="27" t="s">
        <v>135</v>
      </c>
    </row>
    <row r="12" ht="19.5" customHeight="1">
      <c r="A12" s="24" t="s">
        <v>118</v>
      </c>
      <c r="B12" s="24" t="s">
        <v>147</v>
      </c>
      <c r="C12" s="24" t="s">
        <v>137</v>
      </c>
      <c r="D12" s="24" t="s">
        <v>148</v>
      </c>
      <c r="E12" s="26">
        <v>1799.0</v>
      </c>
      <c r="F12" s="27" t="s">
        <v>130</v>
      </c>
      <c r="G12" s="27" t="s">
        <v>135</v>
      </c>
    </row>
    <row r="13" ht="19.5" customHeight="1">
      <c r="A13" s="24" t="s">
        <v>118</v>
      </c>
      <c r="B13" s="24" t="s">
        <v>147</v>
      </c>
      <c r="C13" s="24" t="s">
        <v>139</v>
      </c>
      <c r="D13" s="24" t="s">
        <v>148</v>
      </c>
      <c r="E13" s="26">
        <v>2799.0</v>
      </c>
      <c r="F13" s="27" t="s">
        <v>130</v>
      </c>
      <c r="G13" s="27" t="s">
        <v>135</v>
      </c>
    </row>
    <row r="14" ht="19.5" customHeight="1">
      <c r="A14" s="24" t="s">
        <v>118</v>
      </c>
      <c r="B14" s="24" t="s">
        <v>154</v>
      </c>
      <c r="C14" s="24" t="s">
        <v>124</v>
      </c>
      <c r="D14" s="24" t="s">
        <v>155</v>
      </c>
      <c r="E14" s="26">
        <v>699.0</v>
      </c>
      <c r="F14" s="27" t="s">
        <v>130</v>
      </c>
      <c r="G14" s="27" t="s">
        <v>135</v>
      </c>
    </row>
    <row r="15" ht="19.5" customHeight="1">
      <c r="A15" s="24" t="s">
        <v>118</v>
      </c>
      <c r="B15" s="24" t="s">
        <v>154</v>
      </c>
      <c r="C15" s="24" t="s">
        <v>135</v>
      </c>
      <c r="D15" s="24" t="s">
        <v>155</v>
      </c>
      <c r="E15" s="26">
        <v>1399.0</v>
      </c>
      <c r="F15" s="27" t="s">
        <v>130</v>
      </c>
      <c r="G15" s="27" t="s">
        <v>135</v>
      </c>
    </row>
    <row r="16" ht="19.5" customHeight="1">
      <c r="A16" s="24" t="s">
        <v>118</v>
      </c>
      <c r="B16" s="24" t="s">
        <v>154</v>
      </c>
      <c r="C16" s="24" t="s">
        <v>137</v>
      </c>
      <c r="D16" s="24" t="s">
        <v>155</v>
      </c>
      <c r="E16" s="26">
        <v>1799.0</v>
      </c>
      <c r="F16" s="27" t="s">
        <v>130</v>
      </c>
      <c r="G16" s="27" t="s">
        <v>135</v>
      </c>
    </row>
    <row r="17" ht="19.5" customHeight="1">
      <c r="A17" s="24" t="s">
        <v>118</v>
      </c>
      <c r="B17" s="24" t="s">
        <v>154</v>
      </c>
      <c r="C17" s="24" t="s">
        <v>139</v>
      </c>
      <c r="D17" s="24" t="s">
        <v>155</v>
      </c>
      <c r="E17" s="26">
        <v>2799.0</v>
      </c>
      <c r="F17" s="27" t="s">
        <v>130</v>
      </c>
      <c r="G17" s="27" t="s">
        <v>135</v>
      </c>
    </row>
    <row r="18" ht="19.5" customHeight="1">
      <c r="A18" s="24" t="s">
        <v>118</v>
      </c>
      <c r="B18" s="24" t="s">
        <v>159</v>
      </c>
      <c r="C18" s="24" t="s">
        <v>135</v>
      </c>
      <c r="D18" s="24" t="s">
        <v>160</v>
      </c>
      <c r="E18" s="26">
        <v>1499.0</v>
      </c>
      <c r="F18" s="27" t="s">
        <v>130</v>
      </c>
      <c r="G18" s="27" t="s">
        <v>135</v>
      </c>
    </row>
    <row r="19" ht="19.5" customHeight="1">
      <c r="A19" s="24" t="s">
        <v>118</v>
      </c>
      <c r="B19" s="24" t="s">
        <v>159</v>
      </c>
      <c r="C19" s="24" t="s">
        <v>137</v>
      </c>
      <c r="D19" s="24" t="s">
        <v>160</v>
      </c>
      <c r="E19" s="26">
        <v>1999.0</v>
      </c>
      <c r="F19" s="27" t="s">
        <v>130</v>
      </c>
      <c r="G19" s="27" t="s">
        <v>135</v>
      </c>
    </row>
    <row r="20" ht="19.5" customHeight="1">
      <c r="A20" s="24" t="s">
        <v>118</v>
      </c>
      <c r="B20" s="24" t="s">
        <v>159</v>
      </c>
      <c r="C20" s="24" t="s">
        <v>139</v>
      </c>
      <c r="D20" s="24" t="s">
        <v>160</v>
      </c>
      <c r="E20" s="26">
        <v>2999.0</v>
      </c>
      <c r="F20" s="27" t="s">
        <v>130</v>
      </c>
      <c r="G20" s="27" t="s">
        <v>135</v>
      </c>
    </row>
    <row r="21" ht="19.5" customHeight="1">
      <c r="A21" s="24" t="s">
        <v>164</v>
      </c>
      <c r="B21" s="24" t="s">
        <v>165</v>
      </c>
      <c r="C21" s="24" t="s">
        <v>124</v>
      </c>
      <c r="D21" s="24" t="s">
        <v>166</v>
      </c>
      <c r="E21" s="26">
        <v>599.0</v>
      </c>
      <c r="F21" s="27" t="s">
        <v>130</v>
      </c>
      <c r="G21" s="27" t="s">
        <v>168</v>
      </c>
    </row>
    <row r="22" ht="19.5" customHeight="1">
      <c r="A22" s="24" t="s">
        <v>164</v>
      </c>
      <c r="B22" s="24" t="s">
        <v>165</v>
      </c>
      <c r="C22" s="24" t="s">
        <v>135</v>
      </c>
      <c r="D22" s="24" t="s">
        <v>166</v>
      </c>
      <c r="E22" s="26">
        <v>1299.0</v>
      </c>
      <c r="F22" s="27" t="s">
        <v>130</v>
      </c>
      <c r="G22" s="27" t="s">
        <v>168</v>
      </c>
    </row>
    <row r="23" ht="19.5" customHeight="1">
      <c r="A23" s="24" t="s">
        <v>164</v>
      </c>
      <c r="B23" s="24" t="s">
        <v>165</v>
      </c>
      <c r="C23" s="24" t="s">
        <v>137</v>
      </c>
      <c r="D23" s="24" t="s">
        <v>166</v>
      </c>
      <c r="E23" s="26">
        <v>1499.0</v>
      </c>
      <c r="F23" s="27" t="s">
        <v>130</v>
      </c>
      <c r="G23" s="27" t="s">
        <v>168</v>
      </c>
    </row>
    <row r="24" ht="19.5" customHeight="1">
      <c r="A24" s="24" t="s">
        <v>164</v>
      </c>
      <c r="B24" s="24" t="s">
        <v>165</v>
      </c>
      <c r="C24" s="24" t="s">
        <v>139</v>
      </c>
      <c r="D24" s="24" t="s">
        <v>166</v>
      </c>
      <c r="E24" s="26">
        <v>2599.0</v>
      </c>
      <c r="F24" s="27" t="s">
        <v>130</v>
      </c>
      <c r="G24" s="27" t="s">
        <v>168</v>
      </c>
    </row>
    <row r="25" ht="19.5" customHeight="1">
      <c r="A25" s="24" t="s">
        <v>164</v>
      </c>
      <c r="B25" s="24" t="s">
        <v>175</v>
      </c>
      <c r="C25" s="24" t="s">
        <v>124</v>
      </c>
      <c r="D25" s="24" t="s">
        <v>177</v>
      </c>
      <c r="E25" s="26">
        <v>599.0</v>
      </c>
      <c r="F25" s="27" t="s">
        <v>130</v>
      </c>
      <c r="G25" s="27" t="s">
        <v>135</v>
      </c>
    </row>
    <row r="26" ht="19.5" customHeight="1">
      <c r="A26" s="24" t="s">
        <v>164</v>
      </c>
      <c r="B26" s="24" t="s">
        <v>175</v>
      </c>
      <c r="C26" s="24" t="s">
        <v>135</v>
      </c>
      <c r="D26" s="24" t="s">
        <v>177</v>
      </c>
      <c r="E26" s="26">
        <v>1299.0</v>
      </c>
      <c r="F26" s="27" t="s">
        <v>130</v>
      </c>
      <c r="G26" s="27" t="s">
        <v>135</v>
      </c>
    </row>
    <row r="27" ht="19.5" customHeight="1">
      <c r="A27" s="24" t="s">
        <v>164</v>
      </c>
      <c r="B27" s="24" t="s">
        <v>175</v>
      </c>
      <c r="C27" s="24" t="s">
        <v>137</v>
      </c>
      <c r="D27" s="24" t="s">
        <v>177</v>
      </c>
      <c r="E27" s="26">
        <v>1499.0</v>
      </c>
      <c r="F27" s="27" t="s">
        <v>130</v>
      </c>
      <c r="G27" s="27" t="s">
        <v>135</v>
      </c>
    </row>
    <row r="28" ht="19.5" customHeight="1">
      <c r="A28" s="24" t="s">
        <v>164</v>
      </c>
      <c r="B28" s="24" t="s">
        <v>175</v>
      </c>
      <c r="C28" s="24" t="s">
        <v>139</v>
      </c>
      <c r="D28" s="24" t="s">
        <v>177</v>
      </c>
      <c r="E28" s="26">
        <v>2599.0</v>
      </c>
      <c r="F28" s="27" t="s">
        <v>130</v>
      </c>
      <c r="G28" s="27" t="s">
        <v>135</v>
      </c>
    </row>
    <row r="29" ht="19.5" customHeight="1">
      <c r="A29" s="24" t="s">
        <v>164</v>
      </c>
      <c r="B29" s="24" t="s">
        <v>185</v>
      </c>
      <c r="C29" s="24" t="s">
        <v>124</v>
      </c>
      <c r="D29" s="24" t="s">
        <v>186</v>
      </c>
      <c r="E29" s="26">
        <v>599.0</v>
      </c>
      <c r="F29" s="27" t="s">
        <v>130</v>
      </c>
      <c r="G29" s="27" t="s">
        <v>168</v>
      </c>
    </row>
    <row r="30" ht="19.5" customHeight="1">
      <c r="A30" s="24" t="s">
        <v>164</v>
      </c>
      <c r="B30" s="24" t="s">
        <v>185</v>
      </c>
      <c r="C30" s="24" t="s">
        <v>135</v>
      </c>
      <c r="D30" s="24" t="s">
        <v>186</v>
      </c>
      <c r="E30" s="26">
        <v>1299.0</v>
      </c>
      <c r="F30" s="27" t="s">
        <v>130</v>
      </c>
      <c r="G30" s="27" t="s">
        <v>168</v>
      </c>
    </row>
    <row r="31" ht="19.5" customHeight="1">
      <c r="A31" s="24" t="s">
        <v>164</v>
      </c>
      <c r="B31" s="24" t="s">
        <v>185</v>
      </c>
      <c r="C31" s="24" t="s">
        <v>137</v>
      </c>
      <c r="D31" s="24" t="s">
        <v>186</v>
      </c>
      <c r="E31" s="26">
        <v>1499.0</v>
      </c>
      <c r="F31" s="27" t="s">
        <v>130</v>
      </c>
      <c r="G31" s="27" t="s">
        <v>168</v>
      </c>
    </row>
    <row r="32" ht="19.5" customHeight="1">
      <c r="A32" s="24" t="s">
        <v>164</v>
      </c>
      <c r="B32" s="24" t="s">
        <v>185</v>
      </c>
      <c r="C32" s="24" t="s">
        <v>139</v>
      </c>
      <c r="D32" s="24" t="s">
        <v>186</v>
      </c>
      <c r="E32" s="26">
        <v>2599.0</v>
      </c>
      <c r="F32" s="27" t="s">
        <v>130</v>
      </c>
      <c r="G32" s="27" t="s">
        <v>168</v>
      </c>
    </row>
    <row r="33" ht="19.5" customHeight="1">
      <c r="A33" s="24" t="s">
        <v>164</v>
      </c>
      <c r="B33" s="24" t="s">
        <v>191</v>
      </c>
      <c r="C33" s="24" t="s">
        <v>124</v>
      </c>
      <c r="D33" s="24" t="s">
        <v>193</v>
      </c>
      <c r="E33" s="26">
        <v>599.0</v>
      </c>
      <c r="F33" s="27" t="s">
        <v>130</v>
      </c>
      <c r="G33" s="27" t="s">
        <v>135</v>
      </c>
    </row>
    <row r="34" ht="19.5" customHeight="1">
      <c r="A34" s="24" t="s">
        <v>164</v>
      </c>
      <c r="B34" s="24" t="s">
        <v>191</v>
      </c>
      <c r="C34" s="24" t="s">
        <v>135</v>
      </c>
      <c r="D34" s="24" t="s">
        <v>193</v>
      </c>
      <c r="E34" s="26">
        <v>1299.0</v>
      </c>
      <c r="F34" s="27" t="s">
        <v>130</v>
      </c>
      <c r="G34" s="27" t="s">
        <v>135</v>
      </c>
    </row>
    <row r="35" ht="19.5" customHeight="1">
      <c r="A35" s="24" t="s">
        <v>164</v>
      </c>
      <c r="B35" s="24" t="s">
        <v>191</v>
      </c>
      <c r="C35" s="24" t="s">
        <v>137</v>
      </c>
      <c r="D35" s="24" t="s">
        <v>193</v>
      </c>
      <c r="E35" s="26">
        <v>1499.0</v>
      </c>
      <c r="F35" s="27" t="s">
        <v>130</v>
      </c>
      <c r="G35" s="27" t="s">
        <v>135</v>
      </c>
    </row>
    <row r="36" ht="19.5" customHeight="1">
      <c r="A36" s="24" t="s">
        <v>164</v>
      </c>
      <c r="B36" s="24" t="s">
        <v>191</v>
      </c>
      <c r="C36" s="24" t="s">
        <v>139</v>
      </c>
      <c r="D36" s="24" t="s">
        <v>193</v>
      </c>
      <c r="E36" s="26">
        <v>2599.0</v>
      </c>
      <c r="F36" s="27" t="s">
        <v>130</v>
      </c>
      <c r="G36" s="27" t="s">
        <v>135</v>
      </c>
    </row>
    <row r="37" ht="19.5" customHeight="1">
      <c r="A37" s="24" t="s">
        <v>164</v>
      </c>
      <c r="B37" s="24" t="s">
        <v>199</v>
      </c>
      <c r="C37" s="24" t="s">
        <v>124</v>
      </c>
      <c r="D37" s="24" t="s">
        <v>200</v>
      </c>
      <c r="E37" s="26">
        <v>599.0</v>
      </c>
      <c r="F37" s="27" t="s">
        <v>130</v>
      </c>
      <c r="G37" s="27" t="s">
        <v>131</v>
      </c>
    </row>
    <row r="38" ht="19.5" customHeight="1">
      <c r="A38" s="24" t="s">
        <v>164</v>
      </c>
      <c r="B38" s="24" t="s">
        <v>199</v>
      </c>
      <c r="C38" s="24" t="s">
        <v>135</v>
      </c>
      <c r="D38" s="24" t="s">
        <v>200</v>
      </c>
      <c r="E38" s="26">
        <v>1299.0</v>
      </c>
      <c r="F38" s="27" t="s">
        <v>130</v>
      </c>
      <c r="G38" s="27" t="s">
        <v>131</v>
      </c>
    </row>
    <row r="39" ht="19.5" customHeight="1">
      <c r="A39" s="24" t="s">
        <v>164</v>
      </c>
      <c r="B39" s="24" t="s">
        <v>199</v>
      </c>
      <c r="C39" s="24" t="s">
        <v>137</v>
      </c>
      <c r="D39" s="24" t="s">
        <v>200</v>
      </c>
      <c r="E39" s="26">
        <v>1499.0</v>
      </c>
      <c r="F39" s="27" t="s">
        <v>130</v>
      </c>
      <c r="G39" s="27" t="s">
        <v>131</v>
      </c>
    </row>
    <row r="40" ht="19.5" customHeight="1">
      <c r="A40" s="24" t="s">
        <v>164</v>
      </c>
      <c r="B40" s="24" t="s">
        <v>199</v>
      </c>
      <c r="C40" s="24" t="s">
        <v>139</v>
      </c>
      <c r="D40" s="24" t="s">
        <v>200</v>
      </c>
      <c r="E40" s="26">
        <v>2599.0</v>
      </c>
      <c r="F40" s="27" t="s">
        <v>130</v>
      </c>
      <c r="G40" s="27" t="s">
        <v>131</v>
      </c>
    </row>
    <row r="41" ht="19.5" customHeight="1">
      <c r="A41" s="24" t="s">
        <v>205</v>
      </c>
      <c r="B41" s="24" t="s">
        <v>206</v>
      </c>
      <c r="C41" s="24" t="s">
        <v>207</v>
      </c>
      <c r="D41" s="24" t="s">
        <v>208</v>
      </c>
      <c r="E41" s="26">
        <v>599.0</v>
      </c>
      <c r="F41" s="27" t="s">
        <v>130</v>
      </c>
      <c r="G41" s="27" t="s">
        <v>211</v>
      </c>
    </row>
    <row r="42" ht="19.5" customHeight="1">
      <c r="A42" s="24" t="s">
        <v>205</v>
      </c>
      <c r="B42" s="24" t="s">
        <v>213</v>
      </c>
      <c r="C42" s="24" t="s">
        <v>214</v>
      </c>
      <c r="D42" s="24" t="s">
        <v>215</v>
      </c>
      <c r="E42" s="26">
        <v>1299.0</v>
      </c>
      <c r="F42" s="27" t="s">
        <v>130</v>
      </c>
      <c r="G42" s="27" t="s">
        <v>211</v>
      </c>
    </row>
    <row r="43" ht="19.5" customHeight="1">
      <c r="A43" s="24" t="s">
        <v>205</v>
      </c>
      <c r="B43" s="24" t="s">
        <v>218</v>
      </c>
      <c r="C43" s="24" t="s">
        <v>219</v>
      </c>
      <c r="D43" s="24" t="s">
        <v>220</v>
      </c>
      <c r="E43" s="26">
        <v>1599.0</v>
      </c>
      <c r="F43" s="27" t="s">
        <v>130</v>
      </c>
      <c r="G43" s="27" t="s">
        <v>211</v>
      </c>
    </row>
    <row r="44" ht="19.5" customHeight="1">
      <c r="A44" s="24" t="s">
        <v>205</v>
      </c>
      <c r="B44" s="24" t="s">
        <v>222</v>
      </c>
      <c r="C44" s="24" t="s">
        <v>223</v>
      </c>
      <c r="D44" s="24" t="s">
        <v>224</v>
      </c>
      <c r="E44" s="26">
        <v>2499.0</v>
      </c>
      <c r="F44" s="27" t="s">
        <v>130</v>
      </c>
      <c r="G44" s="27" t="s">
        <v>211</v>
      </c>
    </row>
    <row r="45" ht="19.5" customHeight="1">
      <c r="A45" s="24" t="s">
        <v>226</v>
      </c>
      <c r="B45" s="24" t="s">
        <v>227</v>
      </c>
      <c r="C45" s="24" t="s">
        <v>207</v>
      </c>
      <c r="D45" s="24" t="s">
        <v>228</v>
      </c>
      <c r="E45" s="26">
        <v>599.0</v>
      </c>
      <c r="F45" s="27" t="s">
        <v>130</v>
      </c>
      <c r="G45" s="27" t="s">
        <v>211</v>
      </c>
    </row>
    <row r="46" ht="19.5" customHeight="1">
      <c r="A46" s="24" t="s">
        <v>226</v>
      </c>
      <c r="B46" s="24" t="s">
        <v>230</v>
      </c>
      <c r="C46" s="24" t="s">
        <v>214</v>
      </c>
      <c r="D46" s="24" t="s">
        <v>231</v>
      </c>
      <c r="E46" s="26">
        <v>999.0</v>
      </c>
      <c r="F46" s="27" t="s">
        <v>130</v>
      </c>
      <c r="G46" s="27" t="s">
        <v>211</v>
      </c>
    </row>
    <row r="47" ht="19.5" customHeight="1">
      <c r="A47" s="24" t="s">
        <v>226</v>
      </c>
      <c r="B47" s="24" t="s">
        <v>233</v>
      </c>
      <c r="C47" s="24" t="s">
        <v>219</v>
      </c>
      <c r="D47" s="24" t="s">
        <v>235</v>
      </c>
      <c r="E47" s="26">
        <v>1599.0</v>
      </c>
      <c r="F47" s="27" t="s">
        <v>130</v>
      </c>
      <c r="G47" s="27" t="s">
        <v>211</v>
      </c>
    </row>
    <row r="48" ht="19.5" customHeight="1">
      <c r="A48" s="24" t="s">
        <v>236</v>
      </c>
      <c r="B48" s="24" t="s">
        <v>237</v>
      </c>
      <c r="C48" s="24" t="s">
        <v>238</v>
      </c>
      <c r="D48" s="24" t="s">
        <v>239</v>
      </c>
      <c r="E48" s="26">
        <v>1099.0</v>
      </c>
      <c r="F48" s="27" t="s">
        <v>130</v>
      </c>
      <c r="G48" s="27" t="s">
        <v>211</v>
      </c>
    </row>
    <row r="49" ht="19.5" customHeight="1">
      <c r="A49" s="24" t="s">
        <v>236</v>
      </c>
      <c r="B49" s="24" t="s">
        <v>242</v>
      </c>
      <c r="C49" s="24" t="s">
        <v>238</v>
      </c>
      <c r="D49" s="24" t="s">
        <v>244</v>
      </c>
      <c r="E49" s="26">
        <v>2099.0</v>
      </c>
      <c r="F49" s="27" t="s">
        <v>130</v>
      </c>
      <c r="G49" s="27" t="s">
        <v>211</v>
      </c>
    </row>
    <row r="50" ht="19.5" customHeight="1">
      <c r="A50" s="24" t="s">
        <v>236</v>
      </c>
      <c r="B50" s="24" t="s">
        <v>246</v>
      </c>
      <c r="C50" s="24" t="s">
        <v>238</v>
      </c>
      <c r="D50" s="24" t="s">
        <v>247</v>
      </c>
      <c r="E50" s="26">
        <v>2999.0</v>
      </c>
      <c r="F50" s="27" t="s">
        <v>130</v>
      </c>
      <c r="G50" s="27" t="s">
        <v>211</v>
      </c>
    </row>
    <row r="51" ht="19.5" customHeight="1">
      <c r="A51" s="24" t="s">
        <v>236</v>
      </c>
      <c r="B51" s="24" t="s">
        <v>248</v>
      </c>
      <c r="C51" s="24" t="s">
        <v>249</v>
      </c>
      <c r="D51" s="24" t="s">
        <v>250</v>
      </c>
      <c r="E51" s="26">
        <v>999.0</v>
      </c>
      <c r="F51" s="27" t="s">
        <v>130</v>
      </c>
      <c r="G51" s="27" t="s">
        <v>211</v>
      </c>
    </row>
    <row r="52" ht="19.5" customHeight="1">
      <c r="A52" s="24" t="s">
        <v>236</v>
      </c>
      <c r="B52" s="24" t="s">
        <v>253</v>
      </c>
      <c r="C52" s="24" t="s">
        <v>249</v>
      </c>
      <c r="D52" s="24" t="s">
        <v>256</v>
      </c>
      <c r="E52" s="26">
        <v>1099.0</v>
      </c>
      <c r="F52" s="27" t="s">
        <v>130</v>
      </c>
      <c r="G52" s="27" t="s">
        <v>211</v>
      </c>
    </row>
    <row r="53" ht="19.5" customHeight="1">
      <c r="A53" s="24" t="s">
        <v>257</v>
      </c>
      <c r="B53" s="24" t="s">
        <v>258</v>
      </c>
      <c r="C53" s="24" t="s">
        <v>259</v>
      </c>
      <c r="D53" s="24" t="s">
        <v>260</v>
      </c>
      <c r="E53" s="26">
        <v>110.0</v>
      </c>
      <c r="F53" s="27" t="s">
        <v>130</v>
      </c>
      <c r="G53" s="27" t="s">
        <v>262</v>
      </c>
    </row>
    <row r="54" ht="19.5" customHeight="1">
      <c r="A54" s="24" t="s">
        <v>257</v>
      </c>
      <c r="B54" s="24" t="s">
        <v>258</v>
      </c>
      <c r="C54" s="24" t="s">
        <v>264</v>
      </c>
      <c r="D54" s="24" t="s">
        <v>265</v>
      </c>
      <c r="E54" s="26">
        <v>130.0</v>
      </c>
      <c r="F54" s="27" t="s">
        <v>130</v>
      </c>
      <c r="G54" s="27" t="s">
        <v>262</v>
      </c>
    </row>
    <row r="55" ht="19.5" customHeight="1">
      <c r="A55" s="24" t="s">
        <v>257</v>
      </c>
      <c r="B55" s="24" t="s">
        <v>258</v>
      </c>
      <c r="C55" s="24" t="s">
        <v>268</v>
      </c>
      <c r="D55" s="24" t="s">
        <v>269</v>
      </c>
      <c r="E55" s="26">
        <v>200.0</v>
      </c>
      <c r="F55" s="27" t="s">
        <v>130</v>
      </c>
      <c r="G55" s="27" t="s">
        <v>262</v>
      </c>
    </row>
    <row r="56" ht="19.5" customHeight="1">
      <c r="A56" s="24" t="s">
        <v>257</v>
      </c>
      <c r="B56" s="24" t="s">
        <v>258</v>
      </c>
      <c r="C56" s="24" t="s">
        <v>270</v>
      </c>
      <c r="D56" s="24" t="s">
        <v>271</v>
      </c>
      <c r="E56" s="26">
        <v>240.0</v>
      </c>
      <c r="F56" s="27" t="s">
        <v>130</v>
      </c>
      <c r="G56" s="27" t="s">
        <v>262</v>
      </c>
    </row>
    <row r="57" ht="19.5" customHeight="1">
      <c r="A57" s="24" t="s">
        <v>257</v>
      </c>
      <c r="B57" s="24" t="s">
        <v>273</v>
      </c>
      <c r="C57" s="24" t="s">
        <v>275</v>
      </c>
      <c r="D57" s="24" t="s">
        <v>277</v>
      </c>
      <c r="E57" s="26">
        <v>70.0</v>
      </c>
      <c r="F57" s="27" t="s">
        <v>130</v>
      </c>
      <c r="G57" s="27" t="s">
        <v>262</v>
      </c>
    </row>
    <row r="58">
      <c r="A58" s="24"/>
      <c r="B58" s="24"/>
      <c r="C58" s="24"/>
      <c r="D58" s="24"/>
      <c r="E58" s="46"/>
      <c r="F58" s="27"/>
      <c r="G58" s="27"/>
    </row>
    <row r="59">
      <c r="A59" s="24"/>
      <c r="B59" s="24"/>
      <c r="C59" s="24"/>
      <c r="D59" s="24"/>
      <c r="E59" s="46"/>
      <c r="F59" s="27"/>
      <c r="G59" s="27"/>
    </row>
    <row r="60">
      <c r="A60" s="24"/>
      <c r="B60" s="24"/>
      <c r="C60" s="24"/>
      <c r="D60" s="24"/>
      <c r="E60" s="46"/>
      <c r="F60" s="27"/>
      <c r="G60" s="27"/>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63"/>
    <col customWidth="1" min="2" max="2" width="42.38"/>
    <col customWidth="1" min="3" max="3" width="103.38"/>
    <col customWidth="1" min="4" max="4" width="10.63"/>
  </cols>
  <sheetData>
    <row r="1">
      <c r="A1" s="1" t="s">
        <v>1</v>
      </c>
      <c r="B1" s="1" t="s">
        <v>2</v>
      </c>
      <c r="C1" s="1" t="s">
        <v>3</v>
      </c>
      <c r="D1" s="1" t="s">
        <v>4</v>
      </c>
    </row>
    <row r="2">
      <c r="A2" s="4" t="s">
        <v>6</v>
      </c>
      <c r="B2" s="4" t="s">
        <v>8</v>
      </c>
      <c r="C2" s="4" t="s">
        <v>9</v>
      </c>
      <c r="D2" s="4" t="s">
        <v>10</v>
      </c>
    </row>
    <row r="3">
      <c r="A3" s="4" t="s">
        <v>11</v>
      </c>
      <c r="B3" s="4" t="s">
        <v>12</v>
      </c>
      <c r="C3" s="4" t="s">
        <v>13</v>
      </c>
      <c r="D3" s="4" t="s">
        <v>10</v>
      </c>
    </row>
    <row r="4">
      <c r="A4" s="4" t="s">
        <v>14</v>
      </c>
      <c r="B4" s="4" t="s">
        <v>15</v>
      </c>
      <c r="C4" s="4" t="s">
        <v>16</v>
      </c>
      <c r="D4" s="4" t="s">
        <v>17</v>
      </c>
    </row>
    <row r="5">
      <c r="A5" s="4" t="s">
        <v>18</v>
      </c>
      <c r="B5" s="4" t="s">
        <v>19</v>
      </c>
      <c r="C5" s="4" t="s">
        <v>20</v>
      </c>
      <c r="D5" s="4" t="s">
        <v>17</v>
      </c>
    </row>
    <row r="6">
      <c r="A6" s="4" t="s">
        <v>21</v>
      </c>
      <c r="B6" s="4" t="s">
        <v>22</v>
      </c>
      <c r="C6" s="4" t="s">
        <v>24</v>
      </c>
      <c r="D6" s="4" t="s">
        <v>25</v>
      </c>
    </row>
    <row r="7">
      <c r="A7" s="4" t="s">
        <v>26</v>
      </c>
      <c r="B7" s="4" t="s">
        <v>27</v>
      </c>
      <c r="C7" s="4" t="s">
        <v>28</v>
      </c>
      <c r="D7" s="4" t="s">
        <v>25</v>
      </c>
    </row>
    <row r="8">
      <c r="A8" s="4" t="s">
        <v>30</v>
      </c>
      <c r="B8" s="4" t="s">
        <v>31</v>
      </c>
      <c r="C8" s="4" t="s">
        <v>32</v>
      </c>
      <c r="D8" s="4" t="s">
        <v>33</v>
      </c>
    </row>
    <row r="9">
      <c r="A9" s="4" t="s">
        <v>35</v>
      </c>
      <c r="B9" s="4" t="s">
        <v>36</v>
      </c>
      <c r="C9" s="4" t="s">
        <v>38</v>
      </c>
      <c r="D9" s="4" t="s">
        <v>39</v>
      </c>
    </row>
    <row r="10">
      <c r="A10" s="4" t="s">
        <v>40</v>
      </c>
      <c r="B10" s="4" t="s">
        <v>42</v>
      </c>
      <c r="C10" s="4" t="s">
        <v>44</v>
      </c>
      <c r="D10" s="4" t="s">
        <v>45</v>
      </c>
    </row>
    <row r="11">
      <c r="A11" s="4" t="s">
        <v>46</v>
      </c>
      <c r="B11" s="4" t="s">
        <v>47</v>
      </c>
      <c r="C11" s="4" t="s">
        <v>49</v>
      </c>
      <c r="D11" s="4" t="s">
        <v>50</v>
      </c>
    </row>
    <row r="12">
      <c r="A12" s="4" t="s">
        <v>51</v>
      </c>
      <c r="B12" s="4" t="s">
        <v>53</v>
      </c>
      <c r="C12" s="4" t="s">
        <v>55</v>
      </c>
      <c r="D12" s="4" t="s">
        <v>50</v>
      </c>
    </row>
    <row r="13">
      <c r="A13" s="4" t="s">
        <v>56</v>
      </c>
      <c r="B13" s="4" t="s">
        <v>57</v>
      </c>
      <c r="C13" s="4" t="s">
        <v>59</v>
      </c>
      <c r="D13" s="4" t="s">
        <v>60</v>
      </c>
    </row>
    <row r="14">
      <c r="A14" s="4" t="s">
        <v>62</v>
      </c>
      <c r="B14" s="4" t="s">
        <v>64</v>
      </c>
      <c r="C14" s="4" t="s">
        <v>66</v>
      </c>
      <c r="D14" s="4" t="s">
        <v>60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0" topLeftCell="A11" activePane="bottomLeft" state="frozen"/>
      <selection activeCell="B12" sqref="B12" pane="bottomLeft"/>
    </sheetView>
  </sheetViews>
  <sheetFormatPr customHeight="1" defaultColWidth="12.63" defaultRowHeight="15.75"/>
  <cols>
    <col customWidth="1" min="1" max="1" width="25.5"/>
    <col customWidth="1" min="2" max="2" width="16.38"/>
    <col customWidth="1" min="3" max="3" width="11.13"/>
    <col customWidth="1" min="4" max="4" width="13.88"/>
    <col customWidth="1" min="5" max="5" width="7.88"/>
    <col customWidth="1" min="6" max="6" width="9.38"/>
    <col customWidth="1" min="7" max="7" width="14.63"/>
    <col customWidth="1" min="8" max="8" width="10.0"/>
    <col customWidth="1" min="9" max="9" width="33.63"/>
    <col customWidth="1" min="10" max="10" width="16.38"/>
    <col customWidth="1" min="11" max="12" width="18.88"/>
    <col customWidth="1" min="13" max="13" width="20.13"/>
    <col customWidth="1" min="14" max="14" width="18.88"/>
  </cols>
  <sheetData>
    <row r="1">
      <c r="A1" s="2" t="s">
        <v>0</v>
      </c>
      <c r="B1" s="3" t="s">
        <v>5</v>
      </c>
      <c r="J1" s="5"/>
      <c r="K1" s="5"/>
      <c r="L1" s="5"/>
      <c r="M1" s="5"/>
      <c r="N1" s="5"/>
      <c r="O1" s="5"/>
      <c r="P1" s="5"/>
      <c r="Q1" s="5"/>
      <c r="R1" s="5"/>
      <c r="S1" s="5"/>
      <c r="T1" s="5"/>
      <c r="U1" s="5"/>
      <c r="V1" s="5"/>
      <c r="W1" s="5"/>
      <c r="X1" s="5"/>
      <c r="Y1" s="5"/>
      <c r="Z1" s="5"/>
    </row>
    <row r="2">
      <c r="A2" s="7" t="s">
        <v>23</v>
      </c>
      <c r="B2" s="8" t="b">
        <v>1</v>
      </c>
      <c r="J2" s="5"/>
      <c r="K2" s="5"/>
      <c r="L2" s="5"/>
      <c r="M2" s="5"/>
      <c r="N2" s="5"/>
      <c r="O2" s="5"/>
      <c r="P2" s="5"/>
      <c r="Q2" s="5"/>
      <c r="R2" s="5"/>
      <c r="S2" s="5"/>
      <c r="T2" s="5"/>
      <c r="U2" s="5"/>
      <c r="V2" s="5"/>
      <c r="W2" s="5"/>
      <c r="X2" s="5"/>
      <c r="Y2" s="5"/>
      <c r="Z2" s="5"/>
    </row>
    <row r="3">
      <c r="A3" s="7" t="s">
        <v>63</v>
      </c>
      <c r="B3" s="9" t="s">
        <v>67</v>
      </c>
      <c r="J3" s="5"/>
      <c r="K3" s="5"/>
      <c r="L3" s="5"/>
      <c r="M3" s="5"/>
      <c r="N3" s="5"/>
      <c r="O3" s="5"/>
      <c r="P3" s="5"/>
      <c r="Q3" s="5"/>
      <c r="R3" s="5"/>
      <c r="S3" s="5"/>
      <c r="T3" s="5"/>
      <c r="U3" s="5"/>
      <c r="V3" s="5"/>
      <c r="W3" s="5"/>
      <c r="X3" s="5"/>
      <c r="Y3" s="5"/>
      <c r="Z3" s="5"/>
    </row>
    <row r="4">
      <c r="A4" s="7" t="s">
        <v>71</v>
      </c>
      <c r="B4" s="11">
        <v>0.3</v>
      </c>
      <c r="J4" s="5"/>
      <c r="K4" s="5"/>
      <c r="L4" s="5"/>
      <c r="M4" s="5"/>
      <c r="N4" s="5"/>
      <c r="O4" s="5"/>
      <c r="P4" s="5"/>
      <c r="Q4" s="5"/>
      <c r="R4" s="5"/>
      <c r="S4" s="5"/>
      <c r="T4" s="5"/>
      <c r="U4" s="5"/>
      <c r="V4" s="5"/>
      <c r="W4" s="5"/>
      <c r="X4" s="5"/>
      <c r="Y4" s="5"/>
      <c r="Z4" s="5"/>
    </row>
    <row r="5">
      <c r="A5" s="7" t="s">
        <v>76</v>
      </c>
      <c r="B5" s="13">
        <v>46296.0</v>
      </c>
      <c r="J5" s="5"/>
      <c r="K5" s="5"/>
      <c r="L5" s="5"/>
      <c r="M5" s="5"/>
      <c r="N5" s="5"/>
      <c r="O5" s="5"/>
      <c r="P5" s="5"/>
      <c r="Q5" s="5"/>
      <c r="R5" s="5"/>
      <c r="S5" s="5"/>
      <c r="T5" s="5"/>
      <c r="U5" s="5"/>
      <c r="V5" s="5"/>
      <c r="W5" s="5"/>
      <c r="X5" s="5"/>
      <c r="Y5" s="5"/>
      <c r="Z5" s="5"/>
    </row>
    <row r="6">
      <c r="A6" s="7" t="s">
        <v>80</v>
      </c>
      <c r="B6" s="13">
        <v>46326.0</v>
      </c>
      <c r="J6" s="5"/>
      <c r="K6" s="5"/>
      <c r="L6" s="5"/>
      <c r="M6" s="5"/>
      <c r="N6" s="5"/>
      <c r="O6" s="5"/>
      <c r="P6" s="5"/>
      <c r="Q6" s="5"/>
      <c r="R6" s="5"/>
      <c r="S6" s="5"/>
      <c r="T6" s="5"/>
      <c r="U6" s="5"/>
      <c r="V6" s="5"/>
      <c r="W6" s="5"/>
      <c r="X6" s="5"/>
      <c r="Y6" s="5"/>
      <c r="Z6" s="5"/>
    </row>
    <row r="7">
      <c r="A7" s="16" t="s">
        <v>85</v>
      </c>
      <c r="B7" s="17" t="s">
        <v>86</v>
      </c>
      <c r="J7" s="5"/>
      <c r="K7" s="5"/>
      <c r="L7" s="5"/>
      <c r="M7" s="5"/>
      <c r="N7" s="5"/>
      <c r="O7" s="5"/>
      <c r="P7" s="5"/>
      <c r="Q7" s="5"/>
      <c r="R7" s="5"/>
      <c r="S7" s="5"/>
      <c r="T7" s="5"/>
      <c r="U7" s="5"/>
      <c r="V7" s="5"/>
      <c r="W7" s="5"/>
      <c r="X7" s="5"/>
      <c r="Y7" s="5"/>
      <c r="Z7" s="5"/>
    </row>
    <row r="8">
      <c r="A8" s="18" t="s">
        <v>92</v>
      </c>
      <c r="B8" s="19">
        <v>500.0</v>
      </c>
      <c r="C8" s="5"/>
      <c r="D8" s="5"/>
      <c r="E8" s="5"/>
      <c r="F8" s="5"/>
      <c r="G8" s="5"/>
      <c r="H8" s="5"/>
      <c r="I8" s="5"/>
      <c r="J8" s="5"/>
      <c r="K8" s="5"/>
      <c r="L8" s="5"/>
      <c r="M8" s="5"/>
      <c r="N8" s="5"/>
      <c r="O8" s="5"/>
      <c r="P8" s="5"/>
      <c r="Q8" s="5"/>
      <c r="R8" s="5"/>
      <c r="S8" s="5"/>
      <c r="T8" s="5"/>
      <c r="U8" s="5"/>
      <c r="V8" s="5"/>
      <c r="W8" s="5"/>
      <c r="X8" s="5"/>
      <c r="Y8" s="5"/>
      <c r="Z8" s="5"/>
    </row>
    <row r="9">
      <c r="A9" s="5"/>
      <c r="B9" s="5"/>
      <c r="C9" s="5"/>
      <c r="D9" s="5"/>
      <c r="E9" s="5"/>
      <c r="F9" s="5"/>
      <c r="G9" s="5"/>
      <c r="H9" s="5"/>
      <c r="I9" s="5"/>
      <c r="J9" s="5"/>
      <c r="K9" s="5"/>
      <c r="L9" s="5"/>
      <c r="M9" s="5"/>
      <c r="N9" s="5"/>
      <c r="O9" s="5"/>
      <c r="P9" s="5"/>
      <c r="Q9" s="5"/>
      <c r="R9" s="5"/>
      <c r="S9" s="5"/>
      <c r="T9" s="5"/>
      <c r="U9" s="5"/>
      <c r="V9" s="5"/>
      <c r="W9" s="5"/>
      <c r="X9" s="5"/>
      <c r="Y9" s="5"/>
      <c r="Z9" s="5"/>
    </row>
    <row r="10">
      <c r="A10" s="21" t="s">
        <v>4</v>
      </c>
      <c r="B10" s="22" t="s">
        <v>107</v>
      </c>
      <c r="C10" s="22" t="s">
        <v>108</v>
      </c>
      <c r="D10" s="23" t="s">
        <v>115</v>
      </c>
      <c r="E10" s="22" t="s">
        <v>114</v>
      </c>
      <c r="F10" s="23" t="s">
        <v>119</v>
      </c>
      <c r="G10" s="23" t="s">
        <v>120</v>
      </c>
      <c r="H10" s="23" t="s">
        <v>121</v>
      </c>
      <c r="I10" s="25" t="s">
        <v>122</v>
      </c>
      <c r="J10" s="5"/>
      <c r="K10" s="5"/>
      <c r="L10" s="5"/>
      <c r="M10" s="5"/>
      <c r="N10" s="5"/>
      <c r="O10" s="5"/>
      <c r="P10" s="5"/>
      <c r="Q10" s="5"/>
      <c r="R10" s="5"/>
      <c r="S10" s="5"/>
      <c r="T10" s="5"/>
      <c r="U10" s="5"/>
      <c r="V10" s="5"/>
      <c r="W10" s="5"/>
      <c r="X10" s="5"/>
      <c r="Y10" s="5"/>
      <c r="Z10" s="5"/>
    </row>
    <row r="11" ht="27.0" customHeight="1">
      <c r="A11" s="30" t="str">
        <f>IFERROR(__xludf.DUMMYFUNCTION("FILTER({Menu!A2:C1000, Menu!E2:F1000}, Menu!A2:A1000&lt;&gt;"""")"),"Premium Pizzas")</f>
        <v>Premium Pizzas</v>
      </c>
      <c r="B11" s="31" t="str">
        <f>IFERROR(__xludf.DUMMYFUNCTION("""COMPUTED_VALUE"""),"Chicken Extreme")</f>
        <v>Chicken Extreme</v>
      </c>
      <c r="C11" s="31" t="str">
        <f>IFERROR(__xludf.DUMMYFUNCTION("""COMPUTED_VALUE"""),"Small")</f>
        <v>Small</v>
      </c>
      <c r="D11" s="32">
        <f>IFERROR(__xludf.DUMMYFUNCTION("""COMPUTED_VALUE"""),699.0)</f>
        <v>699</v>
      </c>
      <c r="E11" s="33" t="str">
        <f>IFERROR(__xludf.DUMMYFUNCTION("""COMPUTED_VALUE"""),"Yes")</f>
        <v>Yes</v>
      </c>
      <c r="F11" s="34">
        <f>IFERROR(__xludf.DUMMYFUNCTION("MAP(FILTER(I11:I1000, A11:A1000&lt;&gt;""""), LAMBDA(status, IF(status=""Active"", $B$4, 0)))"),0.3)</f>
        <v>0.3</v>
      </c>
      <c r="G11" s="32">
        <f>IFERROR(__xludf.DUMMYFUNCTION("MAP(FILTER(D11:D1000, A11:A1000&lt;&gt;""""), FILTER(F11:F1000, A11:A1000&lt;&gt;""""), LAMBDA(price, pct, price * pct))"),209.7)</f>
        <v>209.7</v>
      </c>
      <c r="H11" s="32">
        <f>IFERROR(__xludf.DUMMYFUNCTION("MAP(FILTER(D11:D1000, A11:A1000&lt;&gt;""""), FILTER(G11:G1000, A11:A1000&lt;&gt;""""), LAMBDA(price, disc, price - disc))"),489.3)</f>
        <v>489.3</v>
      </c>
      <c r="I11" s="35" t="str">
        <f>IFERROR(__xludf.DUMMYFUNCTION("MAP(FILTER(A11:A1000, A11:A1000&lt;&gt;""""), FILTER(D11:D1000, A11:A1000&lt;&gt;""""), FILTER(E11:E1000, A11:A1000&lt;&gt;""""), LAMBDA(cat, price, avail, IFS(NOT($B$2), ""Campaign Disabled"", TODAY() &lt; $B$5, ""Campaign Not Started"", TODAY() &gt; $B$6, ""Campaign Expired"","&amp;" LOWER(TRIM(avail)) &lt;&gt; ""yes"", ""Unavailable"", ISNUMBER(SEARCH($B$7, cat)), ""Deal Excluded"", price &lt; $B$8, ""Below Min Price"", TRUE, ""Active"")))"),"Active")</f>
        <v>Active</v>
      </c>
      <c r="J11" s="36"/>
      <c r="K11" s="36"/>
      <c r="L11" s="36"/>
      <c r="M11" s="36"/>
      <c r="N11" s="36"/>
      <c r="O11" s="5"/>
      <c r="P11" s="5"/>
      <c r="Q11" s="5"/>
      <c r="R11" s="5"/>
      <c r="S11" s="5"/>
      <c r="T11" s="5"/>
      <c r="U11" s="5"/>
      <c r="V11" s="5"/>
      <c r="W11" s="5"/>
      <c r="X11" s="5"/>
      <c r="Y11" s="5"/>
      <c r="Z11" s="5"/>
    </row>
    <row r="12">
      <c r="A12" s="37" t="str">
        <f>IFERROR(__xludf.DUMMYFUNCTION("""COMPUTED_VALUE"""),"Premium Pizzas")</f>
        <v>Premium Pizzas</v>
      </c>
      <c r="B12" s="38" t="str">
        <f>IFERROR(__xludf.DUMMYFUNCTION("""COMPUTED_VALUE"""),"Chicken Extreme")</f>
        <v>Chicken Extreme</v>
      </c>
      <c r="C12" s="38" t="str">
        <f>IFERROR(__xludf.DUMMYFUNCTION("""COMPUTED_VALUE"""),"Medium")</f>
        <v>Medium</v>
      </c>
      <c r="D12" s="39">
        <f>IFERROR(__xludf.DUMMYFUNCTION("""COMPUTED_VALUE"""),1399.0)</f>
        <v>1399</v>
      </c>
      <c r="E12" s="40" t="str">
        <f>IFERROR(__xludf.DUMMYFUNCTION("""COMPUTED_VALUE"""),"Yes")</f>
        <v>Yes</v>
      </c>
      <c r="F12" s="41">
        <f>IFERROR(__xludf.DUMMYFUNCTION("""COMPUTED_VALUE"""),0.3)</f>
        <v>0.3</v>
      </c>
      <c r="G12" s="39">
        <f>IFERROR(__xludf.DUMMYFUNCTION("""COMPUTED_VALUE"""),419.7)</f>
        <v>419.7</v>
      </c>
      <c r="H12" s="39">
        <f>IFERROR(__xludf.DUMMYFUNCTION("""COMPUTED_VALUE"""),979.3)</f>
        <v>979.3</v>
      </c>
      <c r="I12" s="42" t="str">
        <f>IFERROR(__xludf.DUMMYFUNCTION("""COMPUTED_VALUE"""),"Active")</f>
        <v>Active</v>
      </c>
      <c r="J12" s="43"/>
      <c r="K12" s="44"/>
      <c r="L12" s="44"/>
      <c r="M12" s="44"/>
      <c r="N12" s="45"/>
      <c r="O12" s="5"/>
      <c r="P12" s="5"/>
      <c r="Q12" s="5"/>
      <c r="R12" s="5"/>
      <c r="S12" s="5"/>
      <c r="T12" s="5"/>
      <c r="U12" s="5"/>
      <c r="V12" s="5"/>
      <c r="W12" s="5"/>
      <c r="X12" s="5"/>
      <c r="Y12" s="5"/>
      <c r="Z12" s="5"/>
    </row>
    <row r="13">
      <c r="A13" s="37" t="str">
        <f>IFERROR(__xludf.DUMMYFUNCTION("""COMPUTED_VALUE"""),"Premium Pizzas")</f>
        <v>Premium Pizzas</v>
      </c>
      <c r="B13" s="38" t="str">
        <f>IFERROR(__xludf.DUMMYFUNCTION("""COMPUTED_VALUE"""),"Chicken Extreme")</f>
        <v>Chicken Extreme</v>
      </c>
      <c r="C13" s="38" t="str">
        <f>IFERROR(__xludf.DUMMYFUNCTION("""COMPUTED_VALUE"""),"Large")</f>
        <v>Large</v>
      </c>
      <c r="D13" s="39">
        <f>IFERROR(__xludf.DUMMYFUNCTION("""COMPUTED_VALUE"""),1799.0)</f>
        <v>1799</v>
      </c>
      <c r="E13" s="40" t="str">
        <f>IFERROR(__xludf.DUMMYFUNCTION("""COMPUTED_VALUE"""),"Yes")</f>
        <v>Yes</v>
      </c>
      <c r="F13" s="41">
        <f>IFERROR(__xludf.DUMMYFUNCTION("""COMPUTED_VALUE"""),0.3)</f>
        <v>0.3</v>
      </c>
      <c r="G13" s="39">
        <f>IFERROR(__xludf.DUMMYFUNCTION("""COMPUTED_VALUE"""),539.6999999999999)</f>
        <v>539.7</v>
      </c>
      <c r="H13" s="39">
        <f>IFERROR(__xludf.DUMMYFUNCTION("""COMPUTED_VALUE"""),1259.3000000000002)</f>
        <v>1259.3</v>
      </c>
      <c r="I13" s="42" t="str">
        <f>IFERROR(__xludf.DUMMYFUNCTION("""COMPUTED_VALUE"""),"Active")</f>
        <v>Active</v>
      </c>
      <c r="J13" s="43"/>
      <c r="K13" s="44"/>
      <c r="L13" s="44"/>
      <c r="M13" s="44"/>
      <c r="N13" s="45"/>
      <c r="O13" s="5"/>
      <c r="P13" s="5"/>
      <c r="Q13" s="5"/>
      <c r="R13" s="5"/>
      <c r="S13" s="5"/>
      <c r="T13" s="5"/>
      <c r="U13" s="5"/>
      <c r="V13" s="5"/>
      <c r="W13" s="5"/>
      <c r="X13" s="5"/>
      <c r="Y13" s="5"/>
      <c r="Z13" s="5"/>
    </row>
    <row r="14">
      <c r="A14" s="37" t="str">
        <f>IFERROR(__xludf.DUMMYFUNCTION("""COMPUTED_VALUE"""),"Premium Pizzas")</f>
        <v>Premium Pizzas</v>
      </c>
      <c r="B14" s="38" t="str">
        <f>IFERROR(__xludf.DUMMYFUNCTION("""COMPUTED_VALUE"""),"Chicken Extreme")</f>
        <v>Chicken Extreme</v>
      </c>
      <c r="C14" s="38" t="str">
        <f>IFERROR(__xludf.DUMMYFUNCTION("""COMPUTED_VALUE"""),"Party Size")</f>
        <v>Party Size</v>
      </c>
      <c r="D14" s="39">
        <f>IFERROR(__xludf.DUMMYFUNCTION("""COMPUTED_VALUE"""),2799.0)</f>
        <v>2799</v>
      </c>
      <c r="E14" s="40" t="str">
        <f>IFERROR(__xludf.DUMMYFUNCTION("""COMPUTED_VALUE"""),"Yes")</f>
        <v>Yes</v>
      </c>
      <c r="F14" s="41">
        <f>IFERROR(__xludf.DUMMYFUNCTION("""COMPUTED_VALUE"""),0.3)</f>
        <v>0.3</v>
      </c>
      <c r="G14" s="39">
        <f>IFERROR(__xludf.DUMMYFUNCTION("""COMPUTED_VALUE"""),839.6999999999999)</f>
        <v>839.7</v>
      </c>
      <c r="H14" s="39">
        <f>IFERROR(__xludf.DUMMYFUNCTION("""COMPUTED_VALUE"""),1959.3000000000002)</f>
        <v>1959.3</v>
      </c>
      <c r="I14" s="42" t="str">
        <f>IFERROR(__xludf.DUMMYFUNCTION("""COMPUTED_VALUE"""),"Active")</f>
        <v>Active</v>
      </c>
      <c r="J14" s="43"/>
      <c r="K14" s="44"/>
      <c r="L14" s="44"/>
      <c r="M14" s="44"/>
      <c r="N14" s="45"/>
      <c r="O14" s="5"/>
      <c r="P14" s="5"/>
      <c r="Q14" s="5"/>
      <c r="R14" s="5"/>
      <c r="S14" s="5"/>
      <c r="T14" s="5"/>
      <c r="U14" s="5"/>
      <c r="V14" s="5"/>
      <c r="W14" s="5"/>
      <c r="X14" s="5"/>
      <c r="Y14" s="5"/>
      <c r="Z14" s="5"/>
    </row>
    <row r="15">
      <c r="A15" s="37" t="str">
        <f>IFERROR(__xludf.DUMMYFUNCTION("""COMPUTED_VALUE"""),"Premium Pizzas")</f>
        <v>Premium Pizzas</v>
      </c>
      <c r="B15" s="38" t="str">
        <f>IFERROR(__xludf.DUMMYFUNCTION("""COMPUTED_VALUE"""),"Peri Peri Pizza")</f>
        <v>Peri Peri Pizza</v>
      </c>
      <c r="C15" s="38" t="str">
        <f>IFERROR(__xludf.DUMMYFUNCTION("""COMPUTED_VALUE"""),"Small")</f>
        <v>Small</v>
      </c>
      <c r="D15" s="39">
        <f>IFERROR(__xludf.DUMMYFUNCTION("""COMPUTED_VALUE"""),699.0)</f>
        <v>699</v>
      </c>
      <c r="E15" s="40" t="str">
        <f>IFERROR(__xludf.DUMMYFUNCTION("""COMPUTED_VALUE"""),"Yes")</f>
        <v>Yes</v>
      </c>
      <c r="F15" s="41">
        <f>IFERROR(__xludf.DUMMYFUNCTION("""COMPUTED_VALUE"""),0.3)</f>
        <v>0.3</v>
      </c>
      <c r="G15" s="39">
        <f>IFERROR(__xludf.DUMMYFUNCTION("""COMPUTED_VALUE"""),209.7)</f>
        <v>209.7</v>
      </c>
      <c r="H15" s="39">
        <f>IFERROR(__xludf.DUMMYFUNCTION("""COMPUTED_VALUE"""),489.3)</f>
        <v>489.3</v>
      </c>
      <c r="I15" s="42" t="str">
        <f>IFERROR(__xludf.DUMMYFUNCTION("""COMPUTED_VALUE"""),"Active")</f>
        <v>Active</v>
      </c>
      <c r="J15" s="43"/>
      <c r="K15" s="44"/>
      <c r="L15" s="44"/>
      <c r="M15" s="44"/>
      <c r="N15" s="45"/>
      <c r="O15" s="5"/>
      <c r="P15" s="5"/>
      <c r="Q15" s="5"/>
      <c r="R15" s="5"/>
      <c r="S15" s="5"/>
      <c r="T15" s="5"/>
      <c r="U15" s="5"/>
      <c r="V15" s="5"/>
      <c r="W15" s="5"/>
      <c r="X15" s="5"/>
      <c r="Y15" s="5"/>
      <c r="Z15" s="5"/>
    </row>
    <row r="16">
      <c r="A16" s="37" t="str">
        <f>IFERROR(__xludf.DUMMYFUNCTION("""COMPUTED_VALUE"""),"Premium Pizzas")</f>
        <v>Premium Pizzas</v>
      </c>
      <c r="B16" s="38" t="str">
        <f>IFERROR(__xludf.DUMMYFUNCTION("""COMPUTED_VALUE"""),"Peri Peri Pizza")</f>
        <v>Peri Peri Pizza</v>
      </c>
      <c r="C16" s="38" t="str">
        <f>IFERROR(__xludf.DUMMYFUNCTION("""COMPUTED_VALUE"""),"Medium")</f>
        <v>Medium</v>
      </c>
      <c r="D16" s="39">
        <f>IFERROR(__xludf.DUMMYFUNCTION("""COMPUTED_VALUE"""),1399.0)</f>
        <v>1399</v>
      </c>
      <c r="E16" s="40" t="str">
        <f>IFERROR(__xludf.DUMMYFUNCTION("""COMPUTED_VALUE"""),"Yes")</f>
        <v>Yes</v>
      </c>
      <c r="F16" s="41">
        <f>IFERROR(__xludf.DUMMYFUNCTION("""COMPUTED_VALUE"""),0.3)</f>
        <v>0.3</v>
      </c>
      <c r="G16" s="39">
        <f>IFERROR(__xludf.DUMMYFUNCTION("""COMPUTED_VALUE"""),419.7)</f>
        <v>419.7</v>
      </c>
      <c r="H16" s="39">
        <f>IFERROR(__xludf.DUMMYFUNCTION("""COMPUTED_VALUE"""),979.3)</f>
        <v>979.3</v>
      </c>
      <c r="I16" s="42" t="str">
        <f>IFERROR(__xludf.DUMMYFUNCTION("""COMPUTED_VALUE"""),"Active")</f>
        <v>Active</v>
      </c>
      <c r="J16" s="43"/>
      <c r="K16" s="44"/>
      <c r="L16" s="44"/>
      <c r="M16" s="44"/>
      <c r="N16" s="45"/>
      <c r="O16" s="5"/>
      <c r="P16" s="5"/>
      <c r="Q16" s="5"/>
      <c r="R16" s="5"/>
      <c r="S16" s="5"/>
      <c r="T16" s="5"/>
      <c r="U16" s="5"/>
      <c r="V16" s="5"/>
      <c r="W16" s="5"/>
      <c r="X16" s="5"/>
      <c r="Y16" s="5"/>
      <c r="Z16" s="5"/>
    </row>
    <row r="17">
      <c r="A17" s="37" t="str">
        <f>IFERROR(__xludf.DUMMYFUNCTION("""COMPUTED_VALUE"""),"Premium Pizzas")</f>
        <v>Premium Pizzas</v>
      </c>
      <c r="B17" s="38" t="str">
        <f>IFERROR(__xludf.DUMMYFUNCTION("""COMPUTED_VALUE"""),"Peri Peri Pizza")</f>
        <v>Peri Peri Pizza</v>
      </c>
      <c r="C17" s="38" t="str">
        <f>IFERROR(__xludf.DUMMYFUNCTION("""COMPUTED_VALUE"""),"Large")</f>
        <v>Large</v>
      </c>
      <c r="D17" s="39">
        <f>IFERROR(__xludf.DUMMYFUNCTION("""COMPUTED_VALUE"""),1799.0)</f>
        <v>1799</v>
      </c>
      <c r="E17" s="40" t="str">
        <f>IFERROR(__xludf.DUMMYFUNCTION("""COMPUTED_VALUE"""),"Yes")</f>
        <v>Yes</v>
      </c>
      <c r="F17" s="41">
        <f>IFERROR(__xludf.DUMMYFUNCTION("""COMPUTED_VALUE"""),0.3)</f>
        <v>0.3</v>
      </c>
      <c r="G17" s="39">
        <f>IFERROR(__xludf.DUMMYFUNCTION("""COMPUTED_VALUE"""),539.6999999999999)</f>
        <v>539.7</v>
      </c>
      <c r="H17" s="39">
        <f>IFERROR(__xludf.DUMMYFUNCTION("""COMPUTED_VALUE"""),1259.3000000000002)</f>
        <v>1259.3</v>
      </c>
      <c r="I17" s="42" t="str">
        <f>IFERROR(__xludf.DUMMYFUNCTION("""COMPUTED_VALUE"""),"Active")</f>
        <v>Active</v>
      </c>
      <c r="J17" s="43"/>
      <c r="K17" s="44"/>
      <c r="L17" s="44"/>
      <c r="M17" s="44"/>
      <c r="N17" s="45"/>
      <c r="O17" s="5"/>
      <c r="P17" s="5"/>
      <c r="Q17" s="5"/>
      <c r="R17" s="5"/>
      <c r="S17" s="5"/>
      <c r="T17" s="5"/>
      <c r="U17" s="5"/>
      <c r="V17" s="5"/>
      <c r="W17" s="5"/>
      <c r="X17" s="5"/>
      <c r="Y17" s="5"/>
      <c r="Z17" s="5"/>
    </row>
    <row r="18">
      <c r="A18" s="37" t="str">
        <f>IFERROR(__xludf.DUMMYFUNCTION("""COMPUTED_VALUE"""),"Premium Pizzas")</f>
        <v>Premium Pizzas</v>
      </c>
      <c r="B18" s="38" t="str">
        <f>IFERROR(__xludf.DUMMYFUNCTION("""COMPUTED_VALUE"""),"Peri Peri Pizza")</f>
        <v>Peri Peri Pizza</v>
      </c>
      <c r="C18" s="38" t="str">
        <f>IFERROR(__xludf.DUMMYFUNCTION("""COMPUTED_VALUE"""),"Party Size")</f>
        <v>Party Size</v>
      </c>
      <c r="D18" s="39">
        <f>IFERROR(__xludf.DUMMYFUNCTION("""COMPUTED_VALUE"""),2799.0)</f>
        <v>2799</v>
      </c>
      <c r="E18" s="40" t="str">
        <f>IFERROR(__xludf.DUMMYFUNCTION("""COMPUTED_VALUE"""),"Yes")</f>
        <v>Yes</v>
      </c>
      <c r="F18" s="41">
        <f>IFERROR(__xludf.DUMMYFUNCTION("""COMPUTED_VALUE"""),0.3)</f>
        <v>0.3</v>
      </c>
      <c r="G18" s="39">
        <f>IFERROR(__xludf.DUMMYFUNCTION("""COMPUTED_VALUE"""),839.6999999999999)</f>
        <v>839.7</v>
      </c>
      <c r="H18" s="39">
        <f>IFERROR(__xludf.DUMMYFUNCTION("""COMPUTED_VALUE"""),1959.3000000000002)</f>
        <v>1959.3</v>
      </c>
      <c r="I18" s="42" t="str">
        <f>IFERROR(__xludf.DUMMYFUNCTION("""COMPUTED_VALUE"""),"Active")</f>
        <v>Active</v>
      </c>
      <c r="J18" s="43"/>
      <c r="K18" s="44"/>
      <c r="L18" s="44"/>
      <c r="M18" s="44"/>
      <c r="N18" s="45"/>
      <c r="O18" s="5"/>
      <c r="P18" s="5"/>
      <c r="Q18" s="5"/>
      <c r="R18" s="5"/>
      <c r="S18" s="5"/>
      <c r="T18" s="5"/>
      <c r="U18" s="5"/>
      <c r="V18" s="5"/>
      <c r="W18" s="5"/>
      <c r="X18" s="5"/>
      <c r="Y18" s="5"/>
      <c r="Z18" s="5"/>
    </row>
    <row r="19">
      <c r="A19" s="37" t="str">
        <f>IFERROR(__xludf.DUMMYFUNCTION("""COMPUTED_VALUE"""),"Premium Pizzas")</f>
        <v>Premium Pizzas</v>
      </c>
      <c r="B19" s="38" t="str">
        <f>IFERROR(__xludf.DUMMYFUNCTION("""COMPUTED_VALUE"""),"Behari Kebab Pizza")</f>
        <v>Behari Kebab Pizza</v>
      </c>
      <c r="C19" s="38" t="str">
        <f>IFERROR(__xludf.DUMMYFUNCTION("""COMPUTED_VALUE"""),"Small")</f>
        <v>Small</v>
      </c>
      <c r="D19" s="39">
        <f>IFERROR(__xludf.DUMMYFUNCTION("""COMPUTED_VALUE"""),699.0)</f>
        <v>699</v>
      </c>
      <c r="E19" s="40" t="str">
        <f>IFERROR(__xludf.DUMMYFUNCTION("""COMPUTED_VALUE"""),"Yes")</f>
        <v>Yes</v>
      </c>
      <c r="F19" s="41">
        <f>IFERROR(__xludf.DUMMYFUNCTION("""COMPUTED_VALUE"""),0.3)</f>
        <v>0.3</v>
      </c>
      <c r="G19" s="39">
        <f>IFERROR(__xludf.DUMMYFUNCTION("""COMPUTED_VALUE"""),209.7)</f>
        <v>209.7</v>
      </c>
      <c r="H19" s="39">
        <f>IFERROR(__xludf.DUMMYFUNCTION("""COMPUTED_VALUE"""),489.3)</f>
        <v>489.3</v>
      </c>
      <c r="I19" s="42" t="str">
        <f>IFERROR(__xludf.DUMMYFUNCTION("""COMPUTED_VALUE"""),"Active")</f>
        <v>Active</v>
      </c>
      <c r="J19" s="43"/>
      <c r="K19" s="44"/>
      <c r="L19" s="44"/>
      <c r="M19" s="44"/>
      <c r="N19" s="45"/>
      <c r="O19" s="5"/>
      <c r="P19" s="5"/>
      <c r="Q19" s="5"/>
      <c r="R19" s="5"/>
      <c r="S19" s="5"/>
      <c r="T19" s="5"/>
      <c r="U19" s="5"/>
      <c r="V19" s="5"/>
      <c r="W19" s="5"/>
      <c r="X19" s="5"/>
      <c r="Y19" s="5"/>
      <c r="Z19" s="5"/>
    </row>
    <row r="20">
      <c r="A20" s="37" t="str">
        <f>IFERROR(__xludf.DUMMYFUNCTION("""COMPUTED_VALUE"""),"Premium Pizzas")</f>
        <v>Premium Pizzas</v>
      </c>
      <c r="B20" s="38" t="str">
        <f>IFERROR(__xludf.DUMMYFUNCTION("""COMPUTED_VALUE"""),"Behari Kebab Pizza")</f>
        <v>Behari Kebab Pizza</v>
      </c>
      <c r="C20" s="38" t="str">
        <f>IFERROR(__xludf.DUMMYFUNCTION("""COMPUTED_VALUE"""),"Medium")</f>
        <v>Medium</v>
      </c>
      <c r="D20" s="39">
        <f>IFERROR(__xludf.DUMMYFUNCTION("""COMPUTED_VALUE"""),1399.0)</f>
        <v>1399</v>
      </c>
      <c r="E20" s="40" t="str">
        <f>IFERROR(__xludf.DUMMYFUNCTION("""COMPUTED_VALUE"""),"Yes")</f>
        <v>Yes</v>
      </c>
      <c r="F20" s="41">
        <f>IFERROR(__xludf.DUMMYFUNCTION("""COMPUTED_VALUE"""),0.3)</f>
        <v>0.3</v>
      </c>
      <c r="G20" s="39">
        <f>IFERROR(__xludf.DUMMYFUNCTION("""COMPUTED_VALUE"""),419.7)</f>
        <v>419.7</v>
      </c>
      <c r="H20" s="39">
        <f>IFERROR(__xludf.DUMMYFUNCTION("""COMPUTED_VALUE"""),979.3)</f>
        <v>979.3</v>
      </c>
      <c r="I20" s="42" t="str">
        <f>IFERROR(__xludf.DUMMYFUNCTION("""COMPUTED_VALUE"""),"Active")</f>
        <v>Active</v>
      </c>
      <c r="J20" s="43"/>
      <c r="K20" s="44"/>
      <c r="L20" s="44"/>
      <c r="M20" s="44"/>
      <c r="N20" s="45"/>
      <c r="O20" s="5"/>
      <c r="P20" s="5"/>
      <c r="Q20" s="5"/>
      <c r="R20" s="5"/>
      <c r="S20" s="5"/>
      <c r="T20" s="5"/>
      <c r="U20" s="5"/>
      <c r="V20" s="5"/>
      <c r="W20" s="5"/>
      <c r="X20" s="5"/>
      <c r="Y20" s="5"/>
      <c r="Z20" s="5"/>
    </row>
    <row r="21">
      <c r="A21" s="37" t="str">
        <f>IFERROR(__xludf.DUMMYFUNCTION("""COMPUTED_VALUE"""),"Premium Pizzas")</f>
        <v>Premium Pizzas</v>
      </c>
      <c r="B21" s="38" t="str">
        <f>IFERROR(__xludf.DUMMYFUNCTION("""COMPUTED_VALUE"""),"Behari Kebab Pizza")</f>
        <v>Behari Kebab Pizza</v>
      </c>
      <c r="C21" s="38" t="str">
        <f>IFERROR(__xludf.DUMMYFUNCTION("""COMPUTED_VALUE"""),"Large")</f>
        <v>Large</v>
      </c>
      <c r="D21" s="39">
        <f>IFERROR(__xludf.DUMMYFUNCTION("""COMPUTED_VALUE"""),1799.0)</f>
        <v>1799</v>
      </c>
      <c r="E21" s="40" t="str">
        <f>IFERROR(__xludf.DUMMYFUNCTION("""COMPUTED_VALUE"""),"Yes")</f>
        <v>Yes</v>
      </c>
      <c r="F21" s="41">
        <f>IFERROR(__xludf.DUMMYFUNCTION("""COMPUTED_VALUE"""),0.3)</f>
        <v>0.3</v>
      </c>
      <c r="G21" s="39">
        <f>IFERROR(__xludf.DUMMYFUNCTION("""COMPUTED_VALUE"""),539.6999999999999)</f>
        <v>539.7</v>
      </c>
      <c r="H21" s="39">
        <f>IFERROR(__xludf.DUMMYFUNCTION("""COMPUTED_VALUE"""),1259.3000000000002)</f>
        <v>1259.3</v>
      </c>
      <c r="I21" s="42" t="str">
        <f>IFERROR(__xludf.DUMMYFUNCTION("""COMPUTED_VALUE"""),"Active")</f>
        <v>Active</v>
      </c>
      <c r="J21" s="43"/>
      <c r="K21" s="44"/>
      <c r="L21" s="44"/>
      <c r="M21" s="44"/>
      <c r="N21" s="45"/>
      <c r="O21" s="5"/>
      <c r="P21" s="5"/>
      <c r="Q21" s="5"/>
      <c r="R21" s="5"/>
      <c r="S21" s="5"/>
      <c r="T21" s="5"/>
      <c r="U21" s="5"/>
      <c r="V21" s="5"/>
      <c r="W21" s="5"/>
      <c r="X21" s="5"/>
      <c r="Y21" s="5"/>
      <c r="Z21" s="5"/>
    </row>
    <row r="22">
      <c r="A22" s="37" t="str">
        <f>IFERROR(__xludf.DUMMYFUNCTION("""COMPUTED_VALUE"""),"Premium Pizzas")</f>
        <v>Premium Pizzas</v>
      </c>
      <c r="B22" s="38" t="str">
        <f>IFERROR(__xludf.DUMMYFUNCTION("""COMPUTED_VALUE"""),"Behari Kebab Pizza")</f>
        <v>Behari Kebab Pizza</v>
      </c>
      <c r="C22" s="38" t="str">
        <f>IFERROR(__xludf.DUMMYFUNCTION("""COMPUTED_VALUE"""),"Party Size")</f>
        <v>Party Size</v>
      </c>
      <c r="D22" s="39">
        <f>IFERROR(__xludf.DUMMYFUNCTION("""COMPUTED_VALUE"""),2799.0)</f>
        <v>2799</v>
      </c>
      <c r="E22" s="40" t="str">
        <f>IFERROR(__xludf.DUMMYFUNCTION("""COMPUTED_VALUE"""),"Yes")</f>
        <v>Yes</v>
      </c>
      <c r="F22" s="41">
        <f>IFERROR(__xludf.DUMMYFUNCTION("""COMPUTED_VALUE"""),0.3)</f>
        <v>0.3</v>
      </c>
      <c r="G22" s="39">
        <f>IFERROR(__xludf.DUMMYFUNCTION("""COMPUTED_VALUE"""),839.6999999999999)</f>
        <v>839.7</v>
      </c>
      <c r="H22" s="39">
        <f>IFERROR(__xludf.DUMMYFUNCTION("""COMPUTED_VALUE"""),1959.3000000000002)</f>
        <v>1959.3</v>
      </c>
      <c r="I22" s="42" t="str">
        <f>IFERROR(__xludf.DUMMYFUNCTION("""COMPUTED_VALUE"""),"Active")</f>
        <v>Active</v>
      </c>
      <c r="J22" s="43"/>
      <c r="K22" s="44"/>
      <c r="L22" s="44"/>
      <c r="M22" s="44"/>
      <c r="N22" s="45"/>
      <c r="O22" s="5"/>
      <c r="P22" s="5"/>
      <c r="Q22" s="5"/>
      <c r="R22" s="5"/>
      <c r="S22" s="5"/>
      <c r="T22" s="5"/>
      <c r="U22" s="5"/>
      <c r="V22" s="5"/>
      <c r="W22" s="5"/>
      <c r="X22" s="5"/>
      <c r="Y22" s="5"/>
      <c r="Z22" s="5"/>
    </row>
    <row r="23">
      <c r="A23" s="37" t="str">
        <f>IFERROR(__xludf.DUMMYFUNCTION("""COMPUTED_VALUE"""),"Premium Pizzas")</f>
        <v>Premium Pizzas</v>
      </c>
      <c r="B23" s="38" t="str">
        <f>IFERROR(__xludf.DUMMYFUNCTION("""COMPUTED_VALUE"""),"Crown Crust")</f>
        <v>Crown Crust</v>
      </c>
      <c r="C23" s="38" t="str">
        <f>IFERROR(__xludf.DUMMYFUNCTION("""COMPUTED_VALUE"""),"Small")</f>
        <v>Small</v>
      </c>
      <c r="D23" s="39">
        <f>IFERROR(__xludf.DUMMYFUNCTION("""COMPUTED_VALUE"""),699.0)</f>
        <v>699</v>
      </c>
      <c r="E23" s="40" t="str">
        <f>IFERROR(__xludf.DUMMYFUNCTION("""COMPUTED_VALUE"""),"Yes")</f>
        <v>Yes</v>
      </c>
      <c r="F23" s="41">
        <f>IFERROR(__xludf.DUMMYFUNCTION("""COMPUTED_VALUE"""),0.3)</f>
        <v>0.3</v>
      </c>
      <c r="G23" s="39">
        <f>IFERROR(__xludf.DUMMYFUNCTION("""COMPUTED_VALUE"""),209.7)</f>
        <v>209.7</v>
      </c>
      <c r="H23" s="39">
        <f>IFERROR(__xludf.DUMMYFUNCTION("""COMPUTED_VALUE"""),489.3)</f>
        <v>489.3</v>
      </c>
      <c r="I23" s="42" t="str">
        <f>IFERROR(__xludf.DUMMYFUNCTION("""COMPUTED_VALUE"""),"Active")</f>
        <v>Active</v>
      </c>
      <c r="J23" s="43"/>
      <c r="K23" s="44"/>
      <c r="L23" s="44"/>
      <c r="M23" s="44"/>
      <c r="N23" s="45"/>
      <c r="O23" s="5"/>
      <c r="P23" s="5"/>
      <c r="Q23" s="5"/>
      <c r="R23" s="5"/>
      <c r="S23" s="5"/>
      <c r="T23" s="5"/>
      <c r="U23" s="5"/>
      <c r="V23" s="5"/>
      <c r="W23" s="5"/>
      <c r="X23" s="5"/>
      <c r="Y23" s="5"/>
      <c r="Z23" s="5"/>
    </row>
    <row r="24">
      <c r="A24" s="37" t="str">
        <f>IFERROR(__xludf.DUMMYFUNCTION("""COMPUTED_VALUE"""),"Premium Pizzas")</f>
        <v>Premium Pizzas</v>
      </c>
      <c r="B24" s="38" t="str">
        <f>IFERROR(__xludf.DUMMYFUNCTION("""COMPUTED_VALUE"""),"Crown Crust")</f>
        <v>Crown Crust</v>
      </c>
      <c r="C24" s="38" t="str">
        <f>IFERROR(__xludf.DUMMYFUNCTION("""COMPUTED_VALUE"""),"Medium")</f>
        <v>Medium</v>
      </c>
      <c r="D24" s="39">
        <f>IFERROR(__xludf.DUMMYFUNCTION("""COMPUTED_VALUE"""),1399.0)</f>
        <v>1399</v>
      </c>
      <c r="E24" s="40" t="str">
        <f>IFERROR(__xludf.DUMMYFUNCTION("""COMPUTED_VALUE"""),"Yes")</f>
        <v>Yes</v>
      </c>
      <c r="F24" s="41">
        <f>IFERROR(__xludf.DUMMYFUNCTION("""COMPUTED_VALUE"""),0.3)</f>
        <v>0.3</v>
      </c>
      <c r="G24" s="39">
        <f>IFERROR(__xludf.DUMMYFUNCTION("""COMPUTED_VALUE"""),419.7)</f>
        <v>419.7</v>
      </c>
      <c r="H24" s="39">
        <f>IFERROR(__xludf.DUMMYFUNCTION("""COMPUTED_VALUE"""),979.3)</f>
        <v>979.3</v>
      </c>
      <c r="I24" s="42" t="str">
        <f>IFERROR(__xludf.DUMMYFUNCTION("""COMPUTED_VALUE"""),"Active")</f>
        <v>Active</v>
      </c>
      <c r="J24" s="43"/>
      <c r="K24" s="44"/>
      <c r="L24" s="44"/>
      <c r="M24" s="44"/>
      <c r="N24" s="45"/>
      <c r="O24" s="5"/>
      <c r="P24" s="5"/>
      <c r="Q24" s="5"/>
      <c r="R24" s="5"/>
      <c r="S24" s="5"/>
      <c r="T24" s="5"/>
      <c r="U24" s="5"/>
      <c r="V24" s="5"/>
      <c r="W24" s="5"/>
      <c r="X24" s="5"/>
      <c r="Y24" s="5"/>
      <c r="Z24" s="5"/>
    </row>
    <row r="25">
      <c r="A25" s="37" t="str">
        <f>IFERROR(__xludf.DUMMYFUNCTION("""COMPUTED_VALUE"""),"Premium Pizzas")</f>
        <v>Premium Pizzas</v>
      </c>
      <c r="B25" s="38" t="str">
        <f>IFERROR(__xludf.DUMMYFUNCTION("""COMPUTED_VALUE"""),"Crown Crust")</f>
        <v>Crown Crust</v>
      </c>
      <c r="C25" s="38" t="str">
        <f>IFERROR(__xludf.DUMMYFUNCTION("""COMPUTED_VALUE"""),"Large")</f>
        <v>Large</v>
      </c>
      <c r="D25" s="39">
        <f>IFERROR(__xludf.DUMMYFUNCTION("""COMPUTED_VALUE"""),1799.0)</f>
        <v>1799</v>
      </c>
      <c r="E25" s="40" t="str">
        <f>IFERROR(__xludf.DUMMYFUNCTION("""COMPUTED_VALUE"""),"Yes")</f>
        <v>Yes</v>
      </c>
      <c r="F25" s="41">
        <f>IFERROR(__xludf.DUMMYFUNCTION("""COMPUTED_VALUE"""),0.3)</f>
        <v>0.3</v>
      </c>
      <c r="G25" s="39">
        <f>IFERROR(__xludf.DUMMYFUNCTION("""COMPUTED_VALUE"""),539.6999999999999)</f>
        <v>539.7</v>
      </c>
      <c r="H25" s="39">
        <f>IFERROR(__xludf.DUMMYFUNCTION("""COMPUTED_VALUE"""),1259.3000000000002)</f>
        <v>1259.3</v>
      </c>
      <c r="I25" s="42" t="str">
        <f>IFERROR(__xludf.DUMMYFUNCTION("""COMPUTED_VALUE"""),"Active")</f>
        <v>Active</v>
      </c>
      <c r="J25" s="43"/>
      <c r="K25" s="44"/>
      <c r="L25" s="44"/>
      <c r="M25" s="44"/>
      <c r="N25" s="45"/>
      <c r="O25" s="5"/>
      <c r="P25" s="5"/>
      <c r="Q25" s="5"/>
      <c r="R25" s="5"/>
      <c r="S25" s="5"/>
      <c r="T25" s="5"/>
      <c r="U25" s="5"/>
      <c r="V25" s="5"/>
      <c r="W25" s="5"/>
      <c r="X25" s="5"/>
      <c r="Y25" s="5"/>
      <c r="Z25" s="5"/>
    </row>
    <row r="26">
      <c r="A26" s="37" t="str">
        <f>IFERROR(__xludf.DUMMYFUNCTION("""COMPUTED_VALUE"""),"Premium Pizzas")</f>
        <v>Premium Pizzas</v>
      </c>
      <c r="B26" s="38" t="str">
        <f>IFERROR(__xludf.DUMMYFUNCTION("""COMPUTED_VALUE"""),"Crown Crust")</f>
        <v>Crown Crust</v>
      </c>
      <c r="C26" s="38" t="str">
        <f>IFERROR(__xludf.DUMMYFUNCTION("""COMPUTED_VALUE"""),"Party Size")</f>
        <v>Party Size</v>
      </c>
      <c r="D26" s="39">
        <f>IFERROR(__xludf.DUMMYFUNCTION("""COMPUTED_VALUE"""),2799.0)</f>
        <v>2799</v>
      </c>
      <c r="E26" s="40" t="str">
        <f>IFERROR(__xludf.DUMMYFUNCTION("""COMPUTED_VALUE"""),"Yes")</f>
        <v>Yes</v>
      </c>
      <c r="F26" s="41">
        <f>IFERROR(__xludf.DUMMYFUNCTION("""COMPUTED_VALUE"""),0.3)</f>
        <v>0.3</v>
      </c>
      <c r="G26" s="39">
        <f>IFERROR(__xludf.DUMMYFUNCTION("""COMPUTED_VALUE"""),839.6999999999999)</f>
        <v>839.7</v>
      </c>
      <c r="H26" s="39">
        <f>IFERROR(__xludf.DUMMYFUNCTION("""COMPUTED_VALUE"""),1959.3000000000002)</f>
        <v>1959.3</v>
      </c>
      <c r="I26" s="42" t="str">
        <f>IFERROR(__xludf.DUMMYFUNCTION("""COMPUTED_VALUE"""),"Active")</f>
        <v>Active</v>
      </c>
      <c r="J26" s="43"/>
      <c r="K26" s="44"/>
      <c r="L26" s="44"/>
      <c r="M26" s="44"/>
      <c r="N26" s="45"/>
      <c r="O26" s="5"/>
      <c r="P26" s="5"/>
      <c r="Q26" s="5"/>
      <c r="R26" s="5"/>
      <c r="S26" s="5"/>
      <c r="T26" s="5"/>
      <c r="U26" s="5"/>
      <c r="V26" s="5"/>
      <c r="W26" s="5"/>
      <c r="X26" s="5"/>
      <c r="Y26" s="5"/>
      <c r="Z26" s="5"/>
    </row>
    <row r="27">
      <c r="A27" s="37" t="str">
        <f>IFERROR(__xludf.DUMMYFUNCTION("""COMPUTED_VALUE"""),"Premium Pizzas")</f>
        <v>Premium Pizzas</v>
      </c>
      <c r="B27" s="38" t="str">
        <f>IFERROR(__xludf.DUMMYFUNCTION("""COMPUTED_VALUE"""),"Stuffed Crust")</f>
        <v>Stuffed Crust</v>
      </c>
      <c r="C27" s="38" t="str">
        <f>IFERROR(__xludf.DUMMYFUNCTION("""COMPUTED_VALUE"""),"Medium")</f>
        <v>Medium</v>
      </c>
      <c r="D27" s="39">
        <f>IFERROR(__xludf.DUMMYFUNCTION("""COMPUTED_VALUE"""),1499.0)</f>
        <v>1499</v>
      </c>
      <c r="E27" s="40" t="str">
        <f>IFERROR(__xludf.DUMMYFUNCTION("""COMPUTED_VALUE"""),"Yes")</f>
        <v>Yes</v>
      </c>
      <c r="F27" s="41">
        <f>IFERROR(__xludf.DUMMYFUNCTION("""COMPUTED_VALUE"""),0.3)</f>
        <v>0.3</v>
      </c>
      <c r="G27" s="39">
        <f>IFERROR(__xludf.DUMMYFUNCTION("""COMPUTED_VALUE"""),449.7)</f>
        <v>449.7</v>
      </c>
      <c r="H27" s="39">
        <f>IFERROR(__xludf.DUMMYFUNCTION("""COMPUTED_VALUE"""),1049.3)</f>
        <v>1049.3</v>
      </c>
      <c r="I27" s="42" t="str">
        <f>IFERROR(__xludf.DUMMYFUNCTION("""COMPUTED_VALUE"""),"Active")</f>
        <v>Active</v>
      </c>
      <c r="J27" s="43"/>
      <c r="K27" s="44"/>
      <c r="L27" s="44"/>
      <c r="M27" s="44"/>
      <c r="N27" s="45"/>
      <c r="O27" s="5"/>
      <c r="P27" s="5"/>
      <c r="Q27" s="5"/>
      <c r="R27" s="5"/>
      <c r="S27" s="5"/>
      <c r="T27" s="5"/>
      <c r="U27" s="5"/>
      <c r="V27" s="5"/>
      <c r="W27" s="5"/>
      <c r="X27" s="5"/>
      <c r="Y27" s="5"/>
      <c r="Z27" s="5"/>
    </row>
    <row r="28">
      <c r="A28" s="37" t="str">
        <f>IFERROR(__xludf.DUMMYFUNCTION("""COMPUTED_VALUE"""),"Premium Pizzas")</f>
        <v>Premium Pizzas</v>
      </c>
      <c r="B28" s="38" t="str">
        <f>IFERROR(__xludf.DUMMYFUNCTION("""COMPUTED_VALUE"""),"Stuffed Crust")</f>
        <v>Stuffed Crust</v>
      </c>
      <c r="C28" s="38" t="str">
        <f>IFERROR(__xludf.DUMMYFUNCTION("""COMPUTED_VALUE"""),"Large")</f>
        <v>Large</v>
      </c>
      <c r="D28" s="39">
        <f>IFERROR(__xludf.DUMMYFUNCTION("""COMPUTED_VALUE"""),1999.0)</f>
        <v>1999</v>
      </c>
      <c r="E28" s="40" t="str">
        <f>IFERROR(__xludf.DUMMYFUNCTION("""COMPUTED_VALUE"""),"Yes")</f>
        <v>Yes</v>
      </c>
      <c r="F28" s="41">
        <f>IFERROR(__xludf.DUMMYFUNCTION("""COMPUTED_VALUE"""),0.3)</f>
        <v>0.3</v>
      </c>
      <c r="G28" s="39">
        <f>IFERROR(__xludf.DUMMYFUNCTION("""COMPUTED_VALUE"""),599.6999999999999)</f>
        <v>599.7</v>
      </c>
      <c r="H28" s="39">
        <f>IFERROR(__xludf.DUMMYFUNCTION("""COMPUTED_VALUE"""),1399.3000000000002)</f>
        <v>1399.3</v>
      </c>
      <c r="I28" s="42" t="str">
        <f>IFERROR(__xludf.DUMMYFUNCTION("""COMPUTED_VALUE"""),"Active")</f>
        <v>Active</v>
      </c>
      <c r="J28" s="43"/>
      <c r="K28" s="44"/>
      <c r="L28" s="44"/>
      <c r="M28" s="44"/>
      <c r="N28" s="45"/>
      <c r="O28" s="5"/>
      <c r="P28" s="5"/>
      <c r="Q28" s="5"/>
      <c r="R28" s="5"/>
      <c r="S28" s="5"/>
      <c r="T28" s="5"/>
      <c r="U28" s="5"/>
      <c r="V28" s="5"/>
      <c r="W28" s="5"/>
      <c r="X28" s="5"/>
      <c r="Y28" s="5"/>
      <c r="Z28" s="5"/>
    </row>
    <row r="29">
      <c r="A29" s="37" t="str">
        <f>IFERROR(__xludf.DUMMYFUNCTION("""COMPUTED_VALUE"""),"Premium Pizzas")</f>
        <v>Premium Pizzas</v>
      </c>
      <c r="B29" s="38" t="str">
        <f>IFERROR(__xludf.DUMMYFUNCTION("""COMPUTED_VALUE"""),"Stuffed Crust")</f>
        <v>Stuffed Crust</v>
      </c>
      <c r="C29" s="38" t="str">
        <f>IFERROR(__xludf.DUMMYFUNCTION("""COMPUTED_VALUE"""),"Party Size")</f>
        <v>Party Size</v>
      </c>
      <c r="D29" s="39">
        <f>IFERROR(__xludf.DUMMYFUNCTION("""COMPUTED_VALUE"""),2999.0)</f>
        <v>2999</v>
      </c>
      <c r="E29" s="40" t="str">
        <f>IFERROR(__xludf.DUMMYFUNCTION("""COMPUTED_VALUE"""),"Yes")</f>
        <v>Yes</v>
      </c>
      <c r="F29" s="41">
        <f>IFERROR(__xludf.DUMMYFUNCTION("""COMPUTED_VALUE"""),0.3)</f>
        <v>0.3</v>
      </c>
      <c r="G29" s="39">
        <f>IFERROR(__xludf.DUMMYFUNCTION("""COMPUTED_VALUE"""),899.6999999999999)</f>
        <v>899.7</v>
      </c>
      <c r="H29" s="39">
        <f>IFERROR(__xludf.DUMMYFUNCTION("""COMPUTED_VALUE"""),2099.3)</f>
        <v>2099.3</v>
      </c>
      <c r="I29" s="42" t="str">
        <f>IFERROR(__xludf.DUMMYFUNCTION("""COMPUTED_VALUE"""),"Active")</f>
        <v>Active</v>
      </c>
      <c r="J29" s="43"/>
      <c r="K29" s="44"/>
      <c r="L29" s="44"/>
      <c r="M29" s="44"/>
      <c r="N29" s="45"/>
      <c r="O29" s="5"/>
      <c r="P29" s="5"/>
      <c r="Q29" s="5"/>
      <c r="R29" s="5"/>
      <c r="S29" s="5"/>
      <c r="T29" s="5"/>
      <c r="U29" s="5"/>
      <c r="V29" s="5"/>
      <c r="W29" s="5"/>
      <c r="X29" s="5"/>
      <c r="Y29" s="5"/>
      <c r="Z29" s="5"/>
    </row>
    <row r="30">
      <c r="A30" s="37" t="str">
        <f>IFERROR(__xludf.DUMMYFUNCTION("""COMPUTED_VALUE"""),"Classic Pizzas")</f>
        <v>Classic Pizzas</v>
      </c>
      <c r="B30" s="38" t="str">
        <f>IFERROR(__xludf.DUMMYFUNCTION("""COMPUTED_VALUE"""),"Cheese Lover")</f>
        <v>Cheese Lover</v>
      </c>
      <c r="C30" s="38" t="str">
        <f>IFERROR(__xludf.DUMMYFUNCTION("""COMPUTED_VALUE"""),"Small")</f>
        <v>Small</v>
      </c>
      <c r="D30" s="39">
        <f>IFERROR(__xludf.DUMMYFUNCTION("""COMPUTED_VALUE"""),599.0)</f>
        <v>599</v>
      </c>
      <c r="E30" s="40" t="str">
        <f>IFERROR(__xludf.DUMMYFUNCTION("""COMPUTED_VALUE"""),"Yes")</f>
        <v>Yes</v>
      </c>
      <c r="F30" s="41">
        <f>IFERROR(__xludf.DUMMYFUNCTION("""COMPUTED_VALUE"""),0.3)</f>
        <v>0.3</v>
      </c>
      <c r="G30" s="39">
        <f>IFERROR(__xludf.DUMMYFUNCTION("""COMPUTED_VALUE"""),179.7)</f>
        <v>179.7</v>
      </c>
      <c r="H30" s="39">
        <f>IFERROR(__xludf.DUMMYFUNCTION("""COMPUTED_VALUE"""),419.3)</f>
        <v>419.3</v>
      </c>
      <c r="I30" s="42" t="str">
        <f>IFERROR(__xludf.DUMMYFUNCTION("""COMPUTED_VALUE"""),"Active")</f>
        <v>Active</v>
      </c>
      <c r="J30" s="43"/>
      <c r="K30" s="44"/>
      <c r="L30" s="44"/>
      <c r="M30" s="44"/>
      <c r="N30" s="45"/>
      <c r="O30" s="5"/>
      <c r="P30" s="5"/>
      <c r="Q30" s="5"/>
      <c r="R30" s="5"/>
      <c r="S30" s="5"/>
      <c r="T30" s="5"/>
      <c r="U30" s="5"/>
      <c r="V30" s="5"/>
      <c r="W30" s="5"/>
      <c r="X30" s="5"/>
      <c r="Y30" s="5"/>
      <c r="Z30" s="5"/>
    </row>
    <row r="31">
      <c r="A31" s="37" t="str">
        <f>IFERROR(__xludf.DUMMYFUNCTION("""COMPUTED_VALUE"""),"Classic Pizzas")</f>
        <v>Classic Pizzas</v>
      </c>
      <c r="B31" s="38" t="str">
        <f>IFERROR(__xludf.DUMMYFUNCTION("""COMPUTED_VALUE"""),"Cheese Lover")</f>
        <v>Cheese Lover</v>
      </c>
      <c r="C31" s="38" t="str">
        <f>IFERROR(__xludf.DUMMYFUNCTION("""COMPUTED_VALUE"""),"Medium")</f>
        <v>Medium</v>
      </c>
      <c r="D31" s="39">
        <f>IFERROR(__xludf.DUMMYFUNCTION("""COMPUTED_VALUE"""),1299.0)</f>
        <v>1299</v>
      </c>
      <c r="E31" s="40" t="str">
        <f>IFERROR(__xludf.DUMMYFUNCTION("""COMPUTED_VALUE"""),"Yes")</f>
        <v>Yes</v>
      </c>
      <c r="F31" s="41">
        <f>IFERROR(__xludf.DUMMYFUNCTION("""COMPUTED_VALUE"""),0.3)</f>
        <v>0.3</v>
      </c>
      <c r="G31" s="39">
        <f>IFERROR(__xludf.DUMMYFUNCTION("""COMPUTED_VALUE"""),389.7)</f>
        <v>389.7</v>
      </c>
      <c r="H31" s="39">
        <f>IFERROR(__xludf.DUMMYFUNCTION("""COMPUTED_VALUE"""),909.3)</f>
        <v>909.3</v>
      </c>
      <c r="I31" s="42" t="str">
        <f>IFERROR(__xludf.DUMMYFUNCTION("""COMPUTED_VALUE"""),"Active")</f>
        <v>Active</v>
      </c>
      <c r="J31" s="43"/>
      <c r="K31" s="44"/>
      <c r="L31" s="44"/>
      <c r="M31" s="44"/>
      <c r="N31" s="45"/>
      <c r="O31" s="5"/>
      <c r="P31" s="5"/>
      <c r="Q31" s="5"/>
      <c r="R31" s="5"/>
      <c r="S31" s="5"/>
      <c r="T31" s="5"/>
      <c r="U31" s="5"/>
      <c r="V31" s="5"/>
      <c r="W31" s="5"/>
      <c r="X31" s="5"/>
      <c r="Y31" s="5"/>
      <c r="Z31" s="5"/>
    </row>
    <row r="32">
      <c r="A32" s="37" t="str">
        <f>IFERROR(__xludf.DUMMYFUNCTION("""COMPUTED_VALUE"""),"Classic Pizzas")</f>
        <v>Classic Pizzas</v>
      </c>
      <c r="B32" s="38" t="str">
        <f>IFERROR(__xludf.DUMMYFUNCTION("""COMPUTED_VALUE"""),"Cheese Lover")</f>
        <v>Cheese Lover</v>
      </c>
      <c r="C32" s="38" t="str">
        <f>IFERROR(__xludf.DUMMYFUNCTION("""COMPUTED_VALUE"""),"Large")</f>
        <v>Large</v>
      </c>
      <c r="D32" s="39">
        <f>IFERROR(__xludf.DUMMYFUNCTION("""COMPUTED_VALUE"""),1499.0)</f>
        <v>1499</v>
      </c>
      <c r="E32" s="40" t="str">
        <f>IFERROR(__xludf.DUMMYFUNCTION("""COMPUTED_VALUE"""),"Yes")</f>
        <v>Yes</v>
      </c>
      <c r="F32" s="41">
        <f>IFERROR(__xludf.DUMMYFUNCTION("""COMPUTED_VALUE"""),0.3)</f>
        <v>0.3</v>
      </c>
      <c r="G32" s="39">
        <f>IFERROR(__xludf.DUMMYFUNCTION("""COMPUTED_VALUE"""),449.7)</f>
        <v>449.7</v>
      </c>
      <c r="H32" s="39">
        <f>IFERROR(__xludf.DUMMYFUNCTION("""COMPUTED_VALUE"""),1049.3)</f>
        <v>1049.3</v>
      </c>
      <c r="I32" s="42" t="str">
        <f>IFERROR(__xludf.DUMMYFUNCTION("""COMPUTED_VALUE"""),"Active")</f>
        <v>Active</v>
      </c>
      <c r="J32" s="43"/>
      <c r="K32" s="44"/>
      <c r="L32" s="44"/>
      <c r="M32" s="44"/>
      <c r="N32" s="45"/>
      <c r="O32" s="5"/>
      <c r="P32" s="5"/>
      <c r="Q32" s="5"/>
      <c r="R32" s="5"/>
      <c r="S32" s="5"/>
      <c r="T32" s="5"/>
      <c r="U32" s="5"/>
      <c r="V32" s="5"/>
      <c r="W32" s="5"/>
      <c r="X32" s="5"/>
      <c r="Y32" s="5"/>
      <c r="Z32" s="5"/>
    </row>
    <row r="33">
      <c r="A33" s="37" t="str">
        <f>IFERROR(__xludf.DUMMYFUNCTION("""COMPUTED_VALUE"""),"Classic Pizzas")</f>
        <v>Classic Pizzas</v>
      </c>
      <c r="B33" s="38" t="str">
        <f>IFERROR(__xludf.DUMMYFUNCTION("""COMPUTED_VALUE"""),"Cheese Lover")</f>
        <v>Cheese Lover</v>
      </c>
      <c r="C33" s="38" t="str">
        <f>IFERROR(__xludf.DUMMYFUNCTION("""COMPUTED_VALUE"""),"Party Size")</f>
        <v>Party Size</v>
      </c>
      <c r="D33" s="39">
        <f>IFERROR(__xludf.DUMMYFUNCTION("""COMPUTED_VALUE"""),2599.0)</f>
        <v>2599</v>
      </c>
      <c r="E33" s="40" t="str">
        <f>IFERROR(__xludf.DUMMYFUNCTION("""COMPUTED_VALUE"""),"Yes")</f>
        <v>Yes</v>
      </c>
      <c r="F33" s="41">
        <f>IFERROR(__xludf.DUMMYFUNCTION("""COMPUTED_VALUE"""),0.3)</f>
        <v>0.3</v>
      </c>
      <c r="G33" s="39">
        <f>IFERROR(__xludf.DUMMYFUNCTION("""COMPUTED_VALUE"""),779.6999999999999)</f>
        <v>779.7</v>
      </c>
      <c r="H33" s="39">
        <f>IFERROR(__xludf.DUMMYFUNCTION("""COMPUTED_VALUE"""),1819.3000000000002)</f>
        <v>1819.3</v>
      </c>
      <c r="I33" s="42" t="str">
        <f>IFERROR(__xludf.DUMMYFUNCTION("""COMPUTED_VALUE"""),"Active")</f>
        <v>Active</v>
      </c>
      <c r="J33" s="43"/>
      <c r="K33" s="44"/>
      <c r="L33" s="44"/>
      <c r="M33" s="44"/>
      <c r="N33" s="45"/>
      <c r="O33" s="5"/>
      <c r="P33" s="5"/>
      <c r="Q33" s="5"/>
      <c r="R33" s="5"/>
      <c r="S33" s="5"/>
      <c r="T33" s="5"/>
      <c r="U33" s="5"/>
      <c r="V33" s="5"/>
      <c r="W33" s="5"/>
      <c r="X33" s="5"/>
      <c r="Y33" s="5"/>
      <c r="Z33" s="5"/>
    </row>
    <row r="34">
      <c r="A34" s="37" t="str">
        <f>IFERROR(__xludf.DUMMYFUNCTION("""COMPUTED_VALUE"""),"Classic Pizzas")</f>
        <v>Classic Pizzas</v>
      </c>
      <c r="B34" s="38" t="str">
        <f>IFERROR(__xludf.DUMMYFUNCTION("""COMPUTED_VALUE"""),"Chicken Tikka")</f>
        <v>Chicken Tikka</v>
      </c>
      <c r="C34" s="38" t="str">
        <f>IFERROR(__xludf.DUMMYFUNCTION("""COMPUTED_VALUE"""),"Small")</f>
        <v>Small</v>
      </c>
      <c r="D34" s="39">
        <f>IFERROR(__xludf.DUMMYFUNCTION("""COMPUTED_VALUE"""),599.0)</f>
        <v>599</v>
      </c>
      <c r="E34" s="40" t="str">
        <f>IFERROR(__xludf.DUMMYFUNCTION("""COMPUTED_VALUE"""),"Yes")</f>
        <v>Yes</v>
      </c>
      <c r="F34" s="41">
        <f>IFERROR(__xludf.DUMMYFUNCTION("""COMPUTED_VALUE"""),0.3)</f>
        <v>0.3</v>
      </c>
      <c r="G34" s="39">
        <f>IFERROR(__xludf.DUMMYFUNCTION("""COMPUTED_VALUE"""),179.7)</f>
        <v>179.7</v>
      </c>
      <c r="H34" s="39">
        <f>IFERROR(__xludf.DUMMYFUNCTION("""COMPUTED_VALUE"""),419.3)</f>
        <v>419.3</v>
      </c>
      <c r="I34" s="42" t="str">
        <f>IFERROR(__xludf.DUMMYFUNCTION("""COMPUTED_VALUE"""),"Active")</f>
        <v>Active</v>
      </c>
      <c r="J34" s="43"/>
      <c r="K34" s="44"/>
      <c r="L34" s="44"/>
      <c r="M34" s="44"/>
      <c r="N34" s="45"/>
      <c r="O34" s="5"/>
      <c r="P34" s="5"/>
      <c r="Q34" s="5"/>
      <c r="R34" s="5"/>
      <c r="S34" s="5"/>
      <c r="T34" s="5"/>
      <c r="U34" s="5"/>
      <c r="V34" s="5"/>
      <c r="W34" s="5"/>
      <c r="X34" s="5"/>
      <c r="Y34" s="5"/>
      <c r="Z34" s="5"/>
    </row>
    <row r="35">
      <c r="A35" s="37" t="str">
        <f>IFERROR(__xludf.DUMMYFUNCTION("""COMPUTED_VALUE"""),"Classic Pizzas")</f>
        <v>Classic Pizzas</v>
      </c>
      <c r="B35" s="38" t="str">
        <f>IFERROR(__xludf.DUMMYFUNCTION("""COMPUTED_VALUE"""),"Chicken Tikka")</f>
        <v>Chicken Tikka</v>
      </c>
      <c r="C35" s="38" t="str">
        <f>IFERROR(__xludf.DUMMYFUNCTION("""COMPUTED_VALUE"""),"Medium")</f>
        <v>Medium</v>
      </c>
      <c r="D35" s="39">
        <f>IFERROR(__xludf.DUMMYFUNCTION("""COMPUTED_VALUE"""),1299.0)</f>
        <v>1299</v>
      </c>
      <c r="E35" s="40" t="str">
        <f>IFERROR(__xludf.DUMMYFUNCTION("""COMPUTED_VALUE"""),"Yes")</f>
        <v>Yes</v>
      </c>
      <c r="F35" s="41">
        <f>IFERROR(__xludf.DUMMYFUNCTION("""COMPUTED_VALUE"""),0.3)</f>
        <v>0.3</v>
      </c>
      <c r="G35" s="39">
        <f>IFERROR(__xludf.DUMMYFUNCTION("""COMPUTED_VALUE"""),389.7)</f>
        <v>389.7</v>
      </c>
      <c r="H35" s="39">
        <f>IFERROR(__xludf.DUMMYFUNCTION("""COMPUTED_VALUE"""),909.3)</f>
        <v>909.3</v>
      </c>
      <c r="I35" s="42" t="str">
        <f>IFERROR(__xludf.DUMMYFUNCTION("""COMPUTED_VALUE"""),"Active")</f>
        <v>Active</v>
      </c>
      <c r="J35" s="43"/>
      <c r="K35" s="44"/>
      <c r="L35" s="44"/>
      <c r="M35" s="44"/>
      <c r="N35" s="45"/>
      <c r="O35" s="5"/>
      <c r="P35" s="5"/>
      <c r="Q35" s="5"/>
      <c r="R35" s="5"/>
      <c r="S35" s="5"/>
      <c r="T35" s="5"/>
      <c r="U35" s="5"/>
      <c r="V35" s="5"/>
      <c r="W35" s="5"/>
      <c r="X35" s="5"/>
      <c r="Y35" s="5"/>
      <c r="Z35" s="5"/>
    </row>
    <row r="36">
      <c r="A36" s="37" t="str">
        <f>IFERROR(__xludf.DUMMYFUNCTION("""COMPUTED_VALUE"""),"Classic Pizzas")</f>
        <v>Classic Pizzas</v>
      </c>
      <c r="B36" s="38" t="str">
        <f>IFERROR(__xludf.DUMMYFUNCTION("""COMPUTED_VALUE"""),"Chicken Tikka")</f>
        <v>Chicken Tikka</v>
      </c>
      <c r="C36" s="38" t="str">
        <f>IFERROR(__xludf.DUMMYFUNCTION("""COMPUTED_VALUE"""),"Large")</f>
        <v>Large</v>
      </c>
      <c r="D36" s="39">
        <f>IFERROR(__xludf.DUMMYFUNCTION("""COMPUTED_VALUE"""),1499.0)</f>
        <v>1499</v>
      </c>
      <c r="E36" s="40" t="str">
        <f>IFERROR(__xludf.DUMMYFUNCTION("""COMPUTED_VALUE"""),"Yes")</f>
        <v>Yes</v>
      </c>
      <c r="F36" s="41">
        <f>IFERROR(__xludf.DUMMYFUNCTION("""COMPUTED_VALUE"""),0.3)</f>
        <v>0.3</v>
      </c>
      <c r="G36" s="39">
        <f>IFERROR(__xludf.DUMMYFUNCTION("""COMPUTED_VALUE"""),449.7)</f>
        <v>449.7</v>
      </c>
      <c r="H36" s="39">
        <f>IFERROR(__xludf.DUMMYFUNCTION("""COMPUTED_VALUE"""),1049.3)</f>
        <v>1049.3</v>
      </c>
      <c r="I36" s="42" t="str">
        <f>IFERROR(__xludf.DUMMYFUNCTION("""COMPUTED_VALUE"""),"Active")</f>
        <v>Active</v>
      </c>
      <c r="J36" s="43"/>
      <c r="K36" s="44"/>
      <c r="L36" s="44"/>
      <c r="M36" s="44"/>
      <c r="N36" s="45"/>
      <c r="O36" s="5"/>
      <c r="P36" s="5"/>
      <c r="Q36" s="5"/>
      <c r="R36" s="5"/>
      <c r="S36" s="5"/>
      <c r="T36" s="5"/>
      <c r="U36" s="5"/>
      <c r="V36" s="5"/>
      <c r="W36" s="5"/>
      <c r="X36" s="5"/>
      <c r="Y36" s="5"/>
      <c r="Z36" s="5"/>
    </row>
    <row r="37">
      <c r="A37" s="37" t="str">
        <f>IFERROR(__xludf.DUMMYFUNCTION("""COMPUTED_VALUE"""),"Classic Pizzas")</f>
        <v>Classic Pizzas</v>
      </c>
      <c r="B37" s="38" t="str">
        <f>IFERROR(__xludf.DUMMYFUNCTION("""COMPUTED_VALUE"""),"Chicken Tikka")</f>
        <v>Chicken Tikka</v>
      </c>
      <c r="C37" s="38" t="str">
        <f>IFERROR(__xludf.DUMMYFUNCTION("""COMPUTED_VALUE"""),"Party Size")</f>
        <v>Party Size</v>
      </c>
      <c r="D37" s="39">
        <f>IFERROR(__xludf.DUMMYFUNCTION("""COMPUTED_VALUE"""),2599.0)</f>
        <v>2599</v>
      </c>
      <c r="E37" s="40" t="str">
        <f>IFERROR(__xludf.DUMMYFUNCTION("""COMPUTED_VALUE"""),"Yes")</f>
        <v>Yes</v>
      </c>
      <c r="F37" s="41">
        <f>IFERROR(__xludf.DUMMYFUNCTION("""COMPUTED_VALUE"""),0.3)</f>
        <v>0.3</v>
      </c>
      <c r="G37" s="39">
        <f>IFERROR(__xludf.DUMMYFUNCTION("""COMPUTED_VALUE"""),779.6999999999999)</f>
        <v>779.7</v>
      </c>
      <c r="H37" s="39">
        <f>IFERROR(__xludf.DUMMYFUNCTION("""COMPUTED_VALUE"""),1819.3000000000002)</f>
        <v>1819.3</v>
      </c>
      <c r="I37" s="42" t="str">
        <f>IFERROR(__xludf.DUMMYFUNCTION("""COMPUTED_VALUE"""),"Active")</f>
        <v>Active</v>
      </c>
      <c r="J37" s="43"/>
      <c r="K37" s="44"/>
      <c r="L37" s="44"/>
      <c r="M37" s="44"/>
      <c r="N37" s="45"/>
      <c r="O37" s="5"/>
      <c r="P37" s="5"/>
      <c r="Q37" s="5"/>
      <c r="R37" s="5"/>
      <c r="S37" s="5"/>
      <c r="T37" s="5"/>
      <c r="U37" s="5"/>
      <c r="V37" s="5"/>
      <c r="W37" s="5"/>
      <c r="X37" s="5"/>
      <c r="Y37" s="5"/>
      <c r="Z37" s="5"/>
    </row>
    <row r="38">
      <c r="A38" s="37" t="str">
        <f>IFERROR(__xludf.DUMMYFUNCTION("""COMPUTED_VALUE"""),"Classic Pizzas")</f>
        <v>Classic Pizzas</v>
      </c>
      <c r="B38" s="38" t="str">
        <f>IFERROR(__xludf.DUMMYFUNCTION("""COMPUTED_VALUE"""),"Chicken Supreme")</f>
        <v>Chicken Supreme</v>
      </c>
      <c r="C38" s="38" t="str">
        <f>IFERROR(__xludf.DUMMYFUNCTION("""COMPUTED_VALUE"""),"Small")</f>
        <v>Small</v>
      </c>
      <c r="D38" s="39">
        <f>IFERROR(__xludf.DUMMYFUNCTION("""COMPUTED_VALUE"""),599.0)</f>
        <v>599</v>
      </c>
      <c r="E38" s="40" t="str">
        <f>IFERROR(__xludf.DUMMYFUNCTION("""COMPUTED_VALUE"""),"Yes")</f>
        <v>Yes</v>
      </c>
      <c r="F38" s="41">
        <f>IFERROR(__xludf.DUMMYFUNCTION("""COMPUTED_VALUE"""),0.3)</f>
        <v>0.3</v>
      </c>
      <c r="G38" s="39">
        <f>IFERROR(__xludf.DUMMYFUNCTION("""COMPUTED_VALUE"""),179.7)</f>
        <v>179.7</v>
      </c>
      <c r="H38" s="39">
        <f>IFERROR(__xludf.DUMMYFUNCTION("""COMPUTED_VALUE"""),419.3)</f>
        <v>419.3</v>
      </c>
      <c r="I38" s="42" t="str">
        <f>IFERROR(__xludf.DUMMYFUNCTION("""COMPUTED_VALUE"""),"Active")</f>
        <v>Active</v>
      </c>
      <c r="J38" s="43"/>
      <c r="K38" s="44"/>
      <c r="L38" s="44"/>
      <c r="M38" s="44"/>
      <c r="N38" s="45"/>
      <c r="O38" s="5"/>
      <c r="P38" s="5"/>
      <c r="Q38" s="5"/>
      <c r="R38" s="5"/>
      <c r="S38" s="5"/>
      <c r="T38" s="5"/>
      <c r="U38" s="5"/>
      <c r="V38" s="5"/>
      <c r="W38" s="5"/>
      <c r="X38" s="5"/>
      <c r="Y38" s="5"/>
      <c r="Z38" s="5"/>
    </row>
    <row r="39">
      <c r="A39" s="37" t="str">
        <f>IFERROR(__xludf.DUMMYFUNCTION("""COMPUTED_VALUE"""),"Classic Pizzas")</f>
        <v>Classic Pizzas</v>
      </c>
      <c r="B39" s="38" t="str">
        <f>IFERROR(__xludf.DUMMYFUNCTION("""COMPUTED_VALUE"""),"Chicken Supreme")</f>
        <v>Chicken Supreme</v>
      </c>
      <c r="C39" s="38" t="str">
        <f>IFERROR(__xludf.DUMMYFUNCTION("""COMPUTED_VALUE"""),"Medium")</f>
        <v>Medium</v>
      </c>
      <c r="D39" s="39">
        <f>IFERROR(__xludf.DUMMYFUNCTION("""COMPUTED_VALUE"""),1299.0)</f>
        <v>1299</v>
      </c>
      <c r="E39" s="40" t="str">
        <f>IFERROR(__xludf.DUMMYFUNCTION("""COMPUTED_VALUE"""),"Yes")</f>
        <v>Yes</v>
      </c>
      <c r="F39" s="41">
        <f>IFERROR(__xludf.DUMMYFUNCTION("""COMPUTED_VALUE"""),0.3)</f>
        <v>0.3</v>
      </c>
      <c r="G39" s="39">
        <f>IFERROR(__xludf.DUMMYFUNCTION("""COMPUTED_VALUE"""),389.7)</f>
        <v>389.7</v>
      </c>
      <c r="H39" s="39">
        <f>IFERROR(__xludf.DUMMYFUNCTION("""COMPUTED_VALUE"""),909.3)</f>
        <v>909.3</v>
      </c>
      <c r="I39" s="42" t="str">
        <f>IFERROR(__xludf.DUMMYFUNCTION("""COMPUTED_VALUE"""),"Active")</f>
        <v>Active</v>
      </c>
      <c r="J39" s="43"/>
      <c r="K39" s="44"/>
      <c r="L39" s="44"/>
      <c r="M39" s="44"/>
      <c r="N39" s="45"/>
      <c r="O39" s="5"/>
      <c r="P39" s="5"/>
      <c r="Q39" s="5"/>
      <c r="R39" s="5"/>
      <c r="S39" s="5"/>
      <c r="T39" s="5"/>
      <c r="U39" s="5"/>
      <c r="V39" s="5"/>
      <c r="W39" s="5"/>
      <c r="X39" s="5"/>
      <c r="Y39" s="5"/>
      <c r="Z39" s="5"/>
    </row>
    <row r="40">
      <c r="A40" s="37" t="str">
        <f>IFERROR(__xludf.DUMMYFUNCTION("""COMPUTED_VALUE"""),"Classic Pizzas")</f>
        <v>Classic Pizzas</v>
      </c>
      <c r="B40" s="38" t="str">
        <f>IFERROR(__xludf.DUMMYFUNCTION("""COMPUTED_VALUE"""),"Chicken Supreme")</f>
        <v>Chicken Supreme</v>
      </c>
      <c r="C40" s="38" t="str">
        <f>IFERROR(__xludf.DUMMYFUNCTION("""COMPUTED_VALUE"""),"Large")</f>
        <v>Large</v>
      </c>
      <c r="D40" s="39">
        <f>IFERROR(__xludf.DUMMYFUNCTION("""COMPUTED_VALUE"""),1499.0)</f>
        <v>1499</v>
      </c>
      <c r="E40" s="40" t="str">
        <f>IFERROR(__xludf.DUMMYFUNCTION("""COMPUTED_VALUE"""),"Yes")</f>
        <v>Yes</v>
      </c>
      <c r="F40" s="41">
        <f>IFERROR(__xludf.DUMMYFUNCTION("""COMPUTED_VALUE"""),0.3)</f>
        <v>0.3</v>
      </c>
      <c r="G40" s="39">
        <f>IFERROR(__xludf.DUMMYFUNCTION("""COMPUTED_VALUE"""),449.7)</f>
        <v>449.7</v>
      </c>
      <c r="H40" s="39">
        <f>IFERROR(__xludf.DUMMYFUNCTION("""COMPUTED_VALUE"""),1049.3)</f>
        <v>1049.3</v>
      </c>
      <c r="I40" s="42" t="str">
        <f>IFERROR(__xludf.DUMMYFUNCTION("""COMPUTED_VALUE"""),"Active")</f>
        <v>Active</v>
      </c>
      <c r="J40" s="43"/>
      <c r="K40" s="44"/>
      <c r="L40" s="44"/>
      <c r="M40" s="44"/>
      <c r="N40" s="45"/>
      <c r="O40" s="5"/>
      <c r="P40" s="5"/>
      <c r="Q40" s="5"/>
      <c r="R40" s="5"/>
      <c r="S40" s="5"/>
      <c r="T40" s="5"/>
      <c r="U40" s="5"/>
      <c r="V40" s="5"/>
      <c r="W40" s="5"/>
      <c r="X40" s="5"/>
      <c r="Y40" s="5"/>
      <c r="Z40" s="5"/>
    </row>
    <row r="41">
      <c r="A41" s="37" t="str">
        <f>IFERROR(__xludf.DUMMYFUNCTION("""COMPUTED_VALUE"""),"Classic Pizzas")</f>
        <v>Classic Pizzas</v>
      </c>
      <c r="B41" s="38" t="str">
        <f>IFERROR(__xludf.DUMMYFUNCTION("""COMPUTED_VALUE"""),"Chicken Supreme")</f>
        <v>Chicken Supreme</v>
      </c>
      <c r="C41" s="38" t="str">
        <f>IFERROR(__xludf.DUMMYFUNCTION("""COMPUTED_VALUE"""),"Party Size")</f>
        <v>Party Size</v>
      </c>
      <c r="D41" s="39">
        <f>IFERROR(__xludf.DUMMYFUNCTION("""COMPUTED_VALUE"""),2599.0)</f>
        <v>2599</v>
      </c>
      <c r="E41" s="40" t="str">
        <f>IFERROR(__xludf.DUMMYFUNCTION("""COMPUTED_VALUE"""),"Yes")</f>
        <v>Yes</v>
      </c>
      <c r="F41" s="41">
        <f>IFERROR(__xludf.DUMMYFUNCTION("""COMPUTED_VALUE"""),0.3)</f>
        <v>0.3</v>
      </c>
      <c r="G41" s="39">
        <f>IFERROR(__xludf.DUMMYFUNCTION("""COMPUTED_VALUE"""),779.6999999999999)</f>
        <v>779.7</v>
      </c>
      <c r="H41" s="39">
        <f>IFERROR(__xludf.DUMMYFUNCTION("""COMPUTED_VALUE"""),1819.3000000000002)</f>
        <v>1819.3</v>
      </c>
      <c r="I41" s="42" t="str">
        <f>IFERROR(__xludf.DUMMYFUNCTION("""COMPUTED_VALUE"""),"Active")</f>
        <v>Active</v>
      </c>
      <c r="J41" s="43"/>
      <c r="K41" s="44"/>
      <c r="L41" s="44"/>
      <c r="M41" s="44"/>
      <c r="N41" s="45"/>
      <c r="O41" s="5"/>
      <c r="P41" s="5"/>
      <c r="Q41" s="5"/>
      <c r="R41" s="5"/>
      <c r="S41" s="5"/>
      <c r="T41" s="5"/>
      <c r="U41" s="5"/>
      <c r="V41" s="5"/>
      <c r="W41" s="5"/>
      <c r="X41" s="5"/>
      <c r="Y41" s="5"/>
      <c r="Z41" s="5"/>
    </row>
    <row r="42">
      <c r="A42" s="37" t="str">
        <f>IFERROR(__xludf.DUMMYFUNCTION("""COMPUTED_VALUE"""),"Classic Pizzas")</f>
        <v>Classic Pizzas</v>
      </c>
      <c r="B42" s="38" t="str">
        <f>IFERROR(__xludf.DUMMYFUNCTION("""COMPUTED_VALUE"""),"Chicken Fajita")</f>
        <v>Chicken Fajita</v>
      </c>
      <c r="C42" s="38" t="str">
        <f>IFERROR(__xludf.DUMMYFUNCTION("""COMPUTED_VALUE"""),"Small")</f>
        <v>Small</v>
      </c>
      <c r="D42" s="39">
        <f>IFERROR(__xludf.DUMMYFUNCTION("""COMPUTED_VALUE"""),599.0)</f>
        <v>599</v>
      </c>
      <c r="E42" s="40" t="str">
        <f>IFERROR(__xludf.DUMMYFUNCTION("""COMPUTED_VALUE"""),"Yes")</f>
        <v>Yes</v>
      </c>
      <c r="F42" s="41">
        <f>IFERROR(__xludf.DUMMYFUNCTION("""COMPUTED_VALUE"""),0.3)</f>
        <v>0.3</v>
      </c>
      <c r="G42" s="39">
        <f>IFERROR(__xludf.DUMMYFUNCTION("""COMPUTED_VALUE"""),179.7)</f>
        <v>179.7</v>
      </c>
      <c r="H42" s="39">
        <f>IFERROR(__xludf.DUMMYFUNCTION("""COMPUTED_VALUE"""),419.3)</f>
        <v>419.3</v>
      </c>
      <c r="I42" s="42" t="str">
        <f>IFERROR(__xludf.DUMMYFUNCTION("""COMPUTED_VALUE"""),"Active")</f>
        <v>Active</v>
      </c>
      <c r="J42" s="43"/>
      <c r="K42" s="44"/>
      <c r="L42" s="44"/>
      <c r="M42" s="44"/>
      <c r="N42" s="45"/>
      <c r="O42" s="5"/>
      <c r="P42" s="5"/>
      <c r="Q42" s="5"/>
      <c r="R42" s="5"/>
      <c r="S42" s="5"/>
      <c r="T42" s="5"/>
      <c r="U42" s="5"/>
      <c r="V42" s="5"/>
      <c r="W42" s="5"/>
      <c r="X42" s="5"/>
      <c r="Y42" s="5"/>
      <c r="Z42" s="5"/>
    </row>
    <row r="43">
      <c r="A43" s="37" t="str">
        <f>IFERROR(__xludf.DUMMYFUNCTION("""COMPUTED_VALUE"""),"Classic Pizzas")</f>
        <v>Classic Pizzas</v>
      </c>
      <c r="B43" s="38" t="str">
        <f>IFERROR(__xludf.DUMMYFUNCTION("""COMPUTED_VALUE"""),"Chicken Fajita")</f>
        <v>Chicken Fajita</v>
      </c>
      <c r="C43" s="38" t="str">
        <f>IFERROR(__xludf.DUMMYFUNCTION("""COMPUTED_VALUE"""),"Medium")</f>
        <v>Medium</v>
      </c>
      <c r="D43" s="39">
        <f>IFERROR(__xludf.DUMMYFUNCTION("""COMPUTED_VALUE"""),1299.0)</f>
        <v>1299</v>
      </c>
      <c r="E43" s="40" t="str">
        <f>IFERROR(__xludf.DUMMYFUNCTION("""COMPUTED_VALUE"""),"Yes")</f>
        <v>Yes</v>
      </c>
      <c r="F43" s="41">
        <f>IFERROR(__xludf.DUMMYFUNCTION("""COMPUTED_VALUE"""),0.3)</f>
        <v>0.3</v>
      </c>
      <c r="G43" s="39">
        <f>IFERROR(__xludf.DUMMYFUNCTION("""COMPUTED_VALUE"""),389.7)</f>
        <v>389.7</v>
      </c>
      <c r="H43" s="39">
        <f>IFERROR(__xludf.DUMMYFUNCTION("""COMPUTED_VALUE"""),909.3)</f>
        <v>909.3</v>
      </c>
      <c r="I43" s="42" t="str">
        <f>IFERROR(__xludf.DUMMYFUNCTION("""COMPUTED_VALUE"""),"Active")</f>
        <v>Active</v>
      </c>
      <c r="J43" s="43"/>
      <c r="K43" s="44"/>
      <c r="L43" s="44"/>
      <c r="M43" s="44"/>
      <c r="N43" s="45"/>
      <c r="O43" s="5"/>
      <c r="P43" s="5"/>
      <c r="Q43" s="5"/>
      <c r="R43" s="5"/>
      <c r="S43" s="5"/>
      <c r="T43" s="5"/>
      <c r="U43" s="5"/>
      <c r="V43" s="5"/>
      <c r="W43" s="5"/>
      <c r="X43" s="5"/>
      <c r="Y43" s="5"/>
      <c r="Z43" s="5"/>
    </row>
    <row r="44">
      <c r="A44" s="37" t="str">
        <f>IFERROR(__xludf.DUMMYFUNCTION("""COMPUTED_VALUE"""),"Classic Pizzas")</f>
        <v>Classic Pizzas</v>
      </c>
      <c r="B44" s="38" t="str">
        <f>IFERROR(__xludf.DUMMYFUNCTION("""COMPUTED_VALUE"""),"Chicken Fajita")</f>
        <v>Chicken Fajita</v>
      </c>
      <c r="C44" s="38" t="str">
        <f>IFERROR(__xludf.DUMMYFUNCTION("""COMPUTED_VALUE"""),"Large")</f>
        <v>Large</v>
      </c>
      <c r="D44" s="39">
        <f>IFERROR(__xludf.DUMMYFUNCTION("""COMPUTED_VALUE"""),1499.0)</f>
        <v>1499</v>
      </c>
      <c r="E44" s="40" t="str">
        <f>IFERROR(__xludf.DUMMYFUNCTION("""COMPUTED_VALUE"""),"Yes")</f>
        <v>Yes</v>
      </c>
      <c r="F44" s="41">
        <f>IFERROR(__xludf.DUMMYFUNCTION("""COMPUTED_VALUE"""),0.3)</f>
        <v>0.3</v>
      </c>
      <c r="G44" s="39">
        <f>IFERROR(__xludf.DUMMYFUNCTION("""COMPUTED_VALUE"""),449.7)</f>
        <v>449.7</v>
      </c>
      <c r="H44" s="39">
        <f>IFERROR(__xludf.DUMMYFUNCTION("""COMPUTED_VALUE"""),1049.3)</f>
        <v>1049.3</v>
      </c>
      <c r="I44" s="42" t="str">
        <f>IFERROR(__xludf.DUMMYFUNCTION("""COMPUTED_VALUE"""),"Active")</f>
        <v>Active</v>
      </c>
      <c r="J44" s="43"/>
      <c r="K44" s="44"/>
      <c r="L44" s="44"/>
      <c r="M44" s="44"/>
      <c r="N44" s="45"/>
      <c r="O44" s="5"/>
      <c r="P44" s="5"/>
      <c r="Q44" s="5"/>
      <c r="R44" s="5"/>
      <c r="S44" s="5"/>
      <c r="T44" s="5"/>
      <c r="U44" s="5"/>
      <c r="V44" s="5"/>
      <c r="W44" s="5"/>
      <c r="X44" s="5"/>
      <c r="Y44" s="5"/>
      <c r="Z44" s="5"/>
    </row>
    <row r="45">
      <c r="A45" s="37" t="str">
        <f>IFERROR(__xludf.DUMMYFUNCTION("""COMPUTED_VALUE"""),"Classic Pizzas")</f>
        <v>Classic Pizzas</v>
      </c>
      <c r="B45" s="38" t="str">
        <f>IFERROR(__xludf.DUMMYFUNCTION("""COMPUTED_VALUE"""),"Chicken Fajita")</f>
        <v>Chicken Fajita</v>
      </c>
      <c r="C45" s="38" t="str">
        <f>IFERROR(__xludf.DUMMYFUNCTION("""COMPUTED_VALUE"""),"Party Size")</f>
        <v>Party Size</v>
      </c>
      <c r="D45" s="39">
        <f>IFERROR(__xludf.DUMMYFUNCTION("""COMPUTED_VALUE"""),2599.0)</f>
        <v>2599</v>
      </c>
      <c r="E45" s="40" t="str">
        <f>IFERROR(__xludf.DUMMYFUNCTION("""COMPUTED_VALUE"""),"Yes")</f>
        <v>Yes</v>
      </c>
      <c r="F45" s="41">
        <f>IFERROR(__xludf.DUMMYFUNCTION("""COMPUTED_VALUE"""),0.3)</f>
        <v>0.3</v>
      </c>
      <c r="G45" s="39">
        <f>IFERROR(__xludf.DUMMYFUNCTION("""COMPUTED_VALUE"""),779.6999999999999)</f>
        <v>779.7</v>
      </c>
      <c r="H45" s="39">
        <f>IFERROR(__xludf.DUMMYFUNCTION("""COMPUTED_VALUE"""),1819.3000000000002)</f>
        <v>1819.3</v>
      </c>
      <c r="I45" s="42" t="str">
        <f>IFERROR(__xludf.DUMMYFUNCTION("""COMPUTED_VALUE"""),"Active")</f>
        <v>Active</v>
      </c>
      <c r="J45" s="43"/>
      <c r="K45" s="44"/>
      <c r="L45" s="44"/>
      <c r="M45" s="44"/>
      <c r="N45" s="45"/>
      <c r="O45" s="5"/>
      <c r="P45" s="5"/>
      <c r="Q45" s="5"/>
      <c r="R45" s="5"/>
      <c r="S45" s="5"/>
      <c r="T45" s="5"/>
      <c r="U45" s="5"/>
      <c r="V45" s="5"/>
      <c r="W45" s="5"/>
      <c r="X45" s="5"/>
      <c r="Y45" s="5"/>
      <c r="Z45" s="5"/>
    </row>
    <row r="46">
      <c r="A46" s="37" t="str">
        <f>IFERROR(__xludf.DUMMYFUNCTION("""COMPUTED_VALUE"""),"Classic Pizzas")</f>
        <v>Classic Pizzas</v>
      </c>
      <c r="B46" s="38" t="str">
        <f>IFERROR(__xludf.DUMMYFUNCTION("""COMPUTED_VALUE"""),"Chicken Tandori")</f>
        <v>Chicken Tandori</v>
      </c>
      <c r="C46" s="38" t="str">
        <f>IFERROR(__xludf.DUMMYFUNCTION("""COMPUTED_VALUE"""),"Small")</f>
        <v>Small</v>
      </c>
      <c r="D46" s="39">
        <f>IFERROR(__xludf.DUMMYFUNCTION("""COMPUTED_VALUE"""),599.0)</f>
        <v>599</v>
      </c>
      <c r="E46" s="40" t="str">
        <f>IFERROR(__xludf.DUMMYFUNCTION("""COMPUTED_VALUE"""),"Yes")</f>
        <v>Yes</v>
      </c>
      <c r="F46" s="41">
        <f>IFERROR(__xludf.DUMMYFUNCTION("""COMPUTED_VALUE"""),0.3)</f>
        <v>0.3</v>
      </c>
      <c r="G46" s="39">
        <f>IFERROR(__xludf.DUMMYFUNCTION("""COMPUTED_VALUE"""),179.7)</f>
        <v>179.7</v>
      </c>
      <c r="H46" s="39">
        <f>IFERROR(__xludf.DUMMYFUNCTION("""COMPUTED_VALUE"""),419.3)</f>
        <v>419.3</v>
      </c>
      <c r="I46" s="42" t="str">
        <f>IFERROR(__xludf.DUMMYFUNCTION("""COMPUTED_VALUE"""),"Active")</f>
        <v>Active</v>
      </c>
      <c r="J46" s="43"/>
      <c r="K46" s="44"/>
      <c r="L46" s="44"/>
      <c r="M46" s="44"/>
      <c r="N46" s="45"/>
      <c r="O46" s="5"/>
      <c r="P46" s="5"/>
      <c r="Q46" s="5"/>
      <c r="R46" s="5"/>
      <c r="S46" s="5"/>
      <c r="T46" s="5"/>
      <c r="U46" s="5"/>
      <c r="V46" s="5"/>
      <c r="W46" s="5"/>
      <c r="X46" s="5"/>
      <c r="Y46" s="5"/>
      <c r="Z46" s="5"/>
    </row>
    <row r="47">
      <c r="A47" s="37" t="str">
        <f>IFERROR(__xludf.DUMMYFUNCTION("""COMPUTED_VALUE"""),"Classic Pizzas")</f>
        <v>Classic Pizzas</v>
      </c>
      <c r="B47" s="38" t="str">
        <f>IFERROR(__xludf.DUMMYFUNCTION("""COMPUTED_VALUE"""),"Chicken Tandori")</f>
        <v>Chicken Tandori</v>
      </c>
      <c r="C47" s="38" t="str">
        <f>IFERROR(__xludf.DUMMYFUNCTION("""COMPUTED_VALUE"""),"Medium")</f>
        <v>Medium</v>
      </c>
      <c r="D47" s="39">
        <f>IFERROR(__xludf.DUMMYFUNCTION("""COMPUTED_VALUE"""),1299.0)</f>
        <v>1299</v>
      </c>
      <c r="E47" s="40" t="str">
        <f>IFERROR(__xludf.DUMMYFUNCTION("""COMPUTED_VALUE"""),"Yes")</f>
        <v>Yes</v>
      </c>
      <c r="F47" s="41">
        <f>IFERROR(__xludf.DUMMYFUNCTION("""COMPUTED_VALUE"""),0.3)</f>
        <v>0.3</v>
      </c>
      <c r="G47" s="39">
        <f>IFERROR(__xludf.DUMMYFUNCTION("""COMPUTED_VALUE"""),389.7)</f>
        <v>389.7</v>
      </c>
      <c r="H47" s="39">
        <f>IFERROR(__xludf.DUMMYFUNCTION("""COMPUTED_VALUE"""),909.3)</f>
        <v>909.3</v>
      </c>
      <c r="I47" s="42" t="str">
        <f>IFERROR(__xludf.DUMMYFUNCTION("""COMPUTED_VALUE"""),"Active")</f>
        <v>Active</v>
      </c>
      <c r="J47" s="43"/>
      <c r="K47" s="44"/>
      <c r="L47" s="44"/>
      <c r="M47" s="44"/>
      <c r="N47" s="45"/>
      <c r="O47" s="5"/>
      <c r="P47" s="5"/>
      <c r="Q47" s="5"/>
      <c r="R47" s="5"/>
      <c r="S47" s="5"/>
      <c r="T47" s="5"/>
      <c r="U47" s="5"/>
      <c r="V47" s="5"/>
      <c r="W47" s="5"/>
      <c r="X47" s="5"/>
      <c r="Y47" s="5"/>
      <c r="Z47" s="5"/>
    </row>
    <row r="48">
      <c r="A48" s="37" t="str">
        <f>IFERROR(__xludf.DUMMYFUNCTION("""COMPUTED_VALUE"""),"Classic Pizzas")</f>
        <v>Classic Pizzas</v>
      </c>
      <c r="B48" s="38" t="str">
        <f>IFERROR(__xludf.DUMMYFUNCTION("""COMPUTED_VALUE"""),"Chicken Tandori")</f>
        <v>Chicken Tandori</v>
      </c>
      <c r="C48" s="38" t="str">
        <f>IFERROR(__xludf.DUMMYFUNCTION("""COMPUTED_VALUE"""),"Large")</f>
        <v>Large</v>
      </c>
      <c r="D48" s="39">
        <f>IFERROR(__xludf.DUMMYFUNCTION("""COMPUTED_VALUE"""),1499.0)</f>
        <v>1499</v>
      </c>
      <c r="E48" s="40" t="str">
        <f>IFERROR(__xludf.DUMMYFUNCTION("""COMPUTED_VALUE"""),"Yes")</f>
        <v>Yes</v>
      </c>
      <c r="F48" s="41">
        <f>IFERROR(__xludf.DUMMYFUNCTION("""COMPUTED_VALUE"""),0.3)</f>
        <v>0.3</v>
      </c>
      <c r="G48" s="39">
        <f>IFERROR(__xludf.DUMMYFUNCTION("""COMPUTED_VALUE"""),449.7)</f>
        <v>449.7</v>
      </c>
      <c r="H48" s="39">
        <f>IFERROR(__xludf.DUMMYFUNCTION("""COMPUTED_VALUE"""),1049.3)</f>
        <v>1049.3</v>
      </c>
      <c r="I48" s="42" t="str">
        <f>IFERROR(__xludf.DUMMYFUNCTION("""COMPUTED_VALUE"""),"Active")</f>
        <v>Active</v>
      </c>
      <c r="J48" s="43"/>
      <c r="K48" s="44"/>
      <c r="L48" s="44"/>
      <c r="M48" s="44"/>
      <c r="N48" s="45"/>
      <c r="O48" s="5"/>
      <c r="P48" s="5"/>
      <c r="Q48" s="5"/>
      <c r="R48" s="5"/>
      <c r="S48" s="5"/>
      <c r="T48" s="5"/>
      <c r="U48" s="5"/>
      <c r="V48" s="5"/>
      <c r="W48" s="5"/>
      <c r="X48" s="5"/>
      <c r="Y48" s="5"/>
      <c r="Z48" s="5"/>
    </row>
    <row r="49">
      <c r="A49" s="37" t="str">
        <f>IFERROR(__xludf.DUMMYFUNCTION("""COMPUTED_VALUE"""),"Classic Pizzas")</f>
        <v>Classic Pizzas</v>
      </c>
      <c r="B49" s="38" t="str">
        <f>IFERROR(__xludf.DUMMYFUNCTION("""COMPUTED_VALUE"""),"Chicken Tandori")</f>
        <v>Chicken Tandori</v>
      </c>
      <c r="C49" s="38" t="str">
        <f>IFERROR(__xludf.DUMMYFUNCTION("""COMPUTED_VALUE"""),"Party Size")</f>
        <v>Party Size</v>
      </c>
      <c r="D49" s="39">
        <f>IFERROR(__xludf.DUMMYFUNCTION("""COMPUTED_VALUE"""),2599.0)</f>
        <v>2599</v>
      </c>
      <c r="E49" s="40" t="str">
        <f>IFERROR(__xludf.DUMMYFUNCTION("""COMPUTED_VALUE"""),"Yes")</f>
        <v>Yes</v>
      </c>
      <c r="F49" s="41">
        <f>IFERROR(__xludf.DUMMYFUNCTION("""COMPUTED_VALUE"""),0.3)</f>
        <v>0.3</v>
      </c>
      <c r="G49" s="39">
        <f>IFERROR(__xludf.DUMMYFUNCTION("""COMPUTED_VALUE"""),779.6999999999999)</f>
        <v>779.7</v>
      </c>
      <c r="H49" s="39">
        <f>IFERROR(__xludf.DUMMYFUNCTION("""COMPUTED_VALUE"""),1819.3000000000002)</f>
        <v>1819.3</v>
      </c>
      <c r="I49" s="42" t="str">
        <f>IFERROR(__xludf.DUMMYFUNCTION("""COMPUTED_VALUE"""),"Active")</f>
        <v>Active</v>
      </c>
      <c r="J49" s="43"/>
      <c r="K49" s="44"/>
      <c r="L49" s="44"/>
      <c r="M49" s="44"/>
      <c r="N49" s="45"/>
      <c r="O49" s="5"/>
      <c r="P49" s="5"/>
      <c r="Q49" s="5"/>
      <c r="R49" s="5"/>
      <c r="S49" s="5"/>
      <c r="T49" s="5"/>
      <c r="U49" s="5"/>
      <c r="V49" s="5"/>
      <c r="W49" s="5"/>
      <c r="X49" s="5"/>
      <c r="Y49" s="5"/>
      <c r="Z49" s="5"/>
    </row>
    <row r="50">
      <c r="A50" s="37" t="str">
        <f>IFERROR(__xludf.DUMMYFUNCTION("""COMPUTED_VALUE"""),"Pizza Deals")</f>
        <v>Pizza Deals</v>
      </c>
      <c r="B50" s="38" t="str">
        <f>IFERROR(__xludf.DUMMYFUNCTION("""COMPUTED_VALUE"""),"Pizza Meal For 1")</f>
        <v>Pizza Meal For 1</v>
      </c>
      <c r="C50" s="38" t="str">
        <f>IFERROR(__xludf.DUMMYFUNCTION("""COMPUTED_VALUE"""),"Meal for 1")</f>
        <v>Meal for 1</v>
      </c>
      <c r="D50" s="39">
        <f>IFERROR(__xludf.DUMMYFUNCTION("""COMPUTED_VALUE"""),599.0)</f>
        <v>599</v>
      </c>
      <c r="E50" s="40" t="str">
        <f>IFERROR(__xludf.DUMMYFUNCTION("""COMPUTED_VALUE"""),"Yes")</f>
        <v>Yes</v>
      </c>
      <c r="F50" s="41">
        <f>IFERROR(__xludf.DUMMYFUNCTION("""COMPUTED_VALUE"""),0.0)</f>
        <v>0</v>
      </c>
      <c r="G50" s="39">
        <f>IFERROR(__xludf.DUMMYFUNCTION("""COMPUTED_VALUE"""),0.0)</f>
        <v>0</v>
      </c>
      <c r="H50" s="39">
        <f>IFERROR(__xludf.DUMMYFUNCTION("""COMPUTED_VALUE"""),599.0)</f>
        <v>599</v>
      </c>
      <c r="I50" s="42" t="str">
        <f>IFERROR(__xludf.DUMMYFUNCTION("""COMPUTED_VALUE"""),"Deal Excluded")</f>
        <v>Deal Excluded</v>
      </c>
      <c r="J50" s="43"/>
      <c r="K50" s="44"/>
      <c r="L50" s="44"/>
      <c r="M50" s="44"/>
      <c r="N50" s="45"/>
      <c r="O50" s="5"/>
      <c r="P50" s="5"/>
      <c r="Q50" s="5"/>
      <c r="R50" s="5"/>
      <c r="S50" s="5"/>
      <c r="T50" s="5"/>
      <c r="U50" s="5"/>
      <c r="V50" s="5"/>
      <c r="W50" s="5"/>
      <c r="X50" s="5"/>
      <c r="Y50" s="5"/>
      <c r="Z50" s="5"/>
    </row>
    <row r="51">
      <c r="A51" s="37" t="str">
        <f>IFERROR(__xludf.DUMMYFUNCTION("""COMPUTED_VALUE"""),"Pizza Deals")</f>
        <v>Pizza Deals</v>
      </c>
      <c r="B51" s="38" t="str">
        <f>IFERROR(__xludf.DUMMYFUNCTION("""COMPUTED_VALUE"""),"Pizza Meal For 2")</f>
        <v>Pizza Meal For 2</v>
      </c>
      <c r="C51" s="38" t="str">
        <f>IFERROR(__xludf.DUMMYFUNCTION("""COMPUTED_VALUE"""),"Meal for 2")</f>
        <v>Meal for 2</v>
      </c>
      <c r="D51" s="39">
        <f>IFERROR(__xludf.DUMMYFUNCTION("""COMPUTED_VALUE"""),1299.0)</f>
        <v>1299</v>
      </c>
      <c r="E51" s="40" t="str">
        <f>IFERROR(__xludf.DUMMYFUNCTION("""COMPUTED_VALUE"""),"Yes")</f>
        <v>Yes</v>
      </c>
      <c r="F51" s="41">
        <f>IFERROR(__xludf.DUMMYFUNCTION("""COMPUTED_VALUE"""),0.0)</f>
        <v>0</v>
      </c>
      <c r="G51" s="39">
        <f>IFERROR(__xludf.DUMMYFUNCTION("""COMPUTED_VALUE"""),0.0)</f>
        <v>0</v>
      </c>
      <c r="H51" s="39">
        <f>IFERROR(__xludf.DUMMYFUNCTION("""COMPUTED_VALUE"""),1299.0)</f>
        <v>1299</v>
      </c>
      <c r="I51" s="42" t="str">
        <f>IFERROR(__xludf.DUMMYFUNCTION("""COMPUTED_VALUE"""),"Deal Excluded")</f>
        <v>Deal Excluded</v>
      </c>
      <c r="J51" s="43"/>
      <c r="K51" s="44"/>
      <c r="L51" s="44"/>
      <c r="M51" s="44"/>
      <c r="N51" s="45"/>
      <c r="O51" s="5"/>
      <c r="P51" s="5"/>
      <c r="Q51" s="5"/>
      <c r="R51" s="5"/>
      <c r="S51" s="5"/>
      <c r="T51" s="5"/>
      <c r="U51" s="5"/>
      <c r="V51" s="5"/>
      <c r="W51" s="5"/>
      <c r="X51" s="5"/>
      <c r="Y51" s="5"/>
      <c r="Z51" s="5"/>
    </row>
    <row r="52">
      <c r="A52" s="37" t="str">
        <f>IFERROR(__xludf.DUMMYFUNCTION("""COMPUTED_VALUE"""),"Pizza Deals")</f>
        <v>Pizza Deals</v>
      </c>
      <c r="B52" s="38" t="str">
        <f>IFERROR(__xludf.DUMMYFUNCTION("""COMPUTED_VALUE"""),"Pizza Meal For 3")</f>
        <v>Pizza Meal For 3</v>
      </c>
      <c r="C52" s="38" t="str">
        <f>IFERROR(__xludf.DUMMYFUNCTION("""COMPUTED_VALUE"""),"Meal for 3")</f>
        <v>Meal for 3</v>
      </c>
      <c r="D52" s="39">
        <f>IFERROR(__xludf.DUMMYFUNCTION("""COMPUTED_VALUE"""),1599.0)</f>
        <v>1599</v>
      </c>
      <c r="E52" s="40" t="str">
        <f>IFERROR(__xludf.DUMMYFUNCTION("""COMPUTED_VALUE"""),"Yes")</f>
        <v>Yes</v>
      </c>
      <c r="F52" s="41">
        <f>IFERROR(__xludf.DUMMYFUNCTION("""COMPUTED_VALUE"""),0.0)</f>
        <v>0</v>
      </c>
      <c r="G52" s="39">
        <f>IFERROR(__xludf.DUMMYFUNCTION("""COMPUTED_VALUE"""),0.0)</f>
        <v>0</v>
      </c>
      <c r="H52" s="39">
        <f>IFERROR(__xludf.DUMMYFUNCTION("""COMPUTED_VALUE"""),1599.0)</f>
        <v>1599</v>
      </c>
      <c r="I52" s="42" t="str">
        <f>IFERROR(__xludf.DUMMYFUNCTION("""COMPUTED_VALUE"""),"Deal Excluded")</f>
        <v>Deal Excluded</v>
      </c>
      <c r="J52" s="43"/>
      <c r="K52" s="44"/>
      <c r="L52" s="44"/>
      <c r="M52" s="44"/>
      <c r="N52" s="45"/>
      <c r="O52" s="5"/>
      <c r="P52" s="5"/>
      <c r="Q52" s="5"/>
      <c r="R52" s="5"/>
      <c r="S52" s="5"/>
      <c r="T52" s="5"/>
      <c r="U52" s="5"/>
      <c r="V52" s="5"/>
      <c r="W52" s="5"/>
      <c r="X52" s="5"/>
      <c r="Y52" s="5"/>
      <c r="Z52" s="5"/>
    </row>
    <row r="53">
      <c r="A53" s="37" t="str">
        <f>IFERROR(__xludf.DUMMYFUNCTION("""COMPUTED_VALUE"""),"Pizza Deals")</f>
        <v>Pizza Deals</v>
      </c>
      <c r="B53" s="38" t="str">
        <f>IFERROR(__xludf.DUMMYFUNCTION("""COMPUTED_VALUE"""),"Pizza Meal For 4")</f>
        <v>Pizza Meal For 4</v>
      </c>
      <c r="C53" s="38" t="str">
        <f>IFERROR(__xludf.DUMMYFUNCTION("""COMPUTED_VALUE"""),"Meal for 4")</f>
        <v>Meal for 4</v>
      </c>
      <c r="D53" s="39">
        <f>IFERROR(__xludf.DUMMYFUNCTION("""COMPUTED_VALUE"""),2499.0)</f>
        <v>2499</v>
      </c>
      <c r="E53" s="40" t="str">
        <f>IFERROR(__xludf.DUMMYFUNCTION("""COMPUTED_VALUE"""),"Yes")</f>
        <v>Yes</v>
      </c>
      <c r="F53" s="41">
        <f>IFERROR(__xludf.DUMMYFUNCTION("""COMPUTED_VALUE"""),0.0)</f>
        <v>0</v>
      </c>
      <c r="G53" s="39">
        <f>IFERROR(__xludf.DUMMYFUNCTION("""COMPUTED_VALUE"""),0.0)</f>
        <v>0</v>
      </c>
      <c r="H53" s="39">
        <f>IFERROR(__xludf.DUMMYFUNCTION("""COMPUTED_VALUE"""),2499.0)</f>
        <v>2499</v>
      </c>
      <c r="I53" s="42" t="str">
        <f>IFERROR(__xludf.DUMMYFUNCTION("""COMPUTED_VALUE"""),"Deal Excluded")</f>
        <v>Deal Excluded</v>
      </c>
      <c r="J53" s="43"/>
      <c r="K53" s="44"/>
      <c r="L53" s="44"/>
      <c r="M53" s="44"/>
      <c r="N53" s="45"/>
      <c r="O53" s="5"/>
      <c r="P53" s="5"/>
      <c r="Q53" s="5"/>
      <c r="R53" s="5"/>
      <c r="S53" s="5"/>
      <c r="T53" s="5"/>
      <c r="U53" s="5"/>
      <c r="V53" s="5"/>
      <c r="W53" s="5"/>
      <c r="X53" s="5"/>
      <c r="Y53" s="5"/>
      <c r="Z53" s="5"/>
    </row>
    <row r="54">
      <c r="A54" s="37" t="str">
        <f>IFERROR(__xludf.DUMMYFUNCTION("""COMPUTED_VALUE"""),"Burger Deals")</f>
        <v>Burger Deals</v>
      </c>
      <c r="B54" s="38" t="str">
        <f>IFERROR(__xludf.DUMMYFUNCTION("""COMPUTED_VALUE"""),"Burger Meal For 1")</f>
        <v>Burger Meal For 1</v>
      </c>
      <c r="C54" s="38" t="str">
        <f>IFERROR(__xludf.DUMMYFUNCTION("""COMPUTED_VALUE"""),"Meal for 1")</f>
        <v>Meal for 1</v>
      </c>
      <c r="D54" s="39">
        <f>IFERROR(__xludf.DUMMYFUNCTION("""COMPUTED_VALUE"""),599.0)</f>
        <v>599</v>
      </c>
      <c r="E54" s="40" t="str">
        <f>IFERROR(__xludf.DUMMYFUNCTION("""COMPUTED_VALUE"""),"Yes")</f>
        <v>Yes</v>
      </c>
      <c r="F54" s="41">
        <f>IFERROR(__xludf.DUMMYFUNCTION("""COMPUTED_VALUE"""),0.0)</f>
        <v>0</v>
      </c>
      <c r="G54" s="39">
        <f>IFERROR(__xludf.DUMMYFUNCTION("""COMPUTED_VALUE"""),0.0)</f>
        <v>0</v>
      </c>
      <c r="H54" s="39">
        <f>IFERROR(__xludf.DUMMYFUNCTION("""COMPUTED_VALUE"""),599.0)</f>
        <v>599</v>
      </c>
      <c r="I54" s="42" t="str">
        <f>IFERROR(__xludf.DUMMYFUNCTION("""COMPUTED_VALUE"""),"Deal Excluded")</f>
        <v>Deal Excluded</v>
      </c>
      <c r="J54" s="43"/>
      <c r="K54" s="44"/>
      <c r="L54" s="44"/>
      <c r="M54" s="44"/>
      <c r="N54" s="45"/>
      <c r="O54" s="5"/>
      <c r="P54" s="5"/>
      <c r="Q54" s="5"/>
      <c r="R54" s="5"/>
      <c r="S54" s="5"/>
      <c r="T54" s="5"/>
      <c r="U54" s="5"/>
      <c r="V54" s="5"/>
      <c r="W54" s="5"/>
      <c r="X54" s="5"/>
      <c r="Y54" s="5"/>
      <c r="Z54" s="5"/>
    </row>
    <row r="55">
      <c r="A55" s="37" t="str">
        <f>IFERROR(__xludf.DUMMYFUNCTION("""COMPUTED_VALUE"""),"Burger Deals")</f>
        <v>Burger Deals</v>
      </c>
      <c r="B55" s="38" t="str">
        <f>IFERROR(__xludf.DUMMYFUNCTION("""COMPUTED_VALUE"""),"Burger Meal For 2")</f>
        <v>Burger Meal For 2</v>
      </c>
      <c r="C55" s="38" t="str">
        <f>IFERROR(__xludf.DUMMYFUNCTION("""COMPUTED_VALUE"""),"Meal for 2")</f>
        <v>Meal for 2</v>
      </c>
      <c r="D55" s="39">
        <f>IFERROR(__xludf.DUMMYFUNCTION("""COMPUTED_VALUE"""),999.0)</f>
        <v>999</v>
      </c>
      <c r="E55" s="40" t="str">
        <f>IFERROR(__xludf.DUMMYFUNCTION("""COMPUTED_VALUE"""),"Yes")</f>
        <v>Yes</v>
      </c>
      <c r="F55" s="41">
        <f>IFERROR(__xludf.DUMMYFUNCTION("""COMPUTED_VALUE"""),0.0)</f>
        <v>0</v>
      </c>
      <c r="G55" s="39">
        <f>IFERROR(__xludf.DUMMYFUNCTION("""COMPUTED_VALUE"""),0.0)</f>
        <v>0</v>
      </c>
      <c r="H55" s="39">
        <f>IFERROR(__xludf.DUMMYFUNCTION("""COMPUTED_VALUE"""),999.0)</f>
        <v>999</v>
      </c>
      <c r="I55" s="42" t="str">
        <f>IFERROR(__xludf.DUMMYFUNCTION("""COMPUTED_VALUE"""),"Deal Excluded")</f>
        <v>Deal Excluded</v>
      </c>
      <c r="J55" s="43"/>
      <c r="K55" s="44"/>
      <c r="L55" s="44"/>
      <c r="M55" s="44"/>
      <c r="N55" s="45"/>
      <c r="O55" s="5"/>
      <c r="P55" s="5"/>
      <c r="Q55" s="5"/>
      <c r="R55" s="5"/>
      <c r="S55" s="5"/>
      <c r="T55" s="5"/>
      <c r="U55" s="5"/>
      <c r="V55" s="5"/>
      <c r="W55" s="5"/>
      <c r="X55" s="5"/>
      <c r="Y55" s="5"/>
      <c r="Z55" s="5"/>
    </row>
    <row r="56">
      <c r="A56" s="37" t="str">
        <f>IFERROR(__xludf.DUMMYFUNCTION("""COMPUTED_VALUE"""),"Burger Deals")</f>
        <v>Burger Deals</v>
      </c>
      <c r="B56" s="38" t="str">
        <f>IFERROR(__xludf.DUMMYFUNCTION("""COMPUTED_VALUE"""),"Burger Meal For 3")</f>
        <v>Burger Meal For 3</v>
      </c>
      <c r="C56" s="38" t="str">
        <f>IFERROR(__xludf.DUMMYFUNCTION("""COMPUTED_VALUE"""),"Meal for 3")</f>
        <v>Meal for 3</v>
      </c>
      <c r="D56" s="39">
        <f>IFERROR(__xludf.DUMMYFUNCTION("""COMPUTED_VALUE"""),1599.0)</f>
        <v>1599</v>
      </c>
      <c r="E56" s="40" t="str">
        <f>IFERROR(__xludf.DUMMYFUNCTION("""COMPUTED_VALUE"""),"Yes")</f>
        <v>Yes</v>
      </c>
      <c r="F56" s="41">
        <f>IFERROR(__xludf.DUMMYFUNCTION("""COMPUTED_VALUE"""),0.0)</f>
        <v>0</v>
      </c>
      <c r="G56" s="39">
        <f>IFERROR(__xludf.DUMMYFUNCTION("""COMPUTED_VALUE"""),0.0)</f>
        <v>0</v>
      </c>
      <c r="H56" s="39">
        <f>IFERROR(__xludf.DUMMYFUNCTION("""COMPUTED_VALUE"""),1599.0)</f>
        <v>1599</v>
      </c>
      <c r="I56" s="42" t="str">
        <f>IFERROR(__xludf.DUMMYFUNCTION("""COMPUTED_VALUE"""),"Deal Excluded")</f>
        <v>Deal Excluded</v>
      </c>
      <c r="J56" s="43"/>
      <c r="K56" s="44"/>
      <c r="L56" s="44"/>
      <c r="M56" s="44"/>
      <c r="N56" s="45"/>
      <c r="O56" s="5"/>
      <c r="P56" s="5"/>
      <c r="Q56" s="5"/>
      <c r="R56" s="5"/>
      <c r="S56" s="5"/>
      <c r="T56" s="5"/>
      <c r="U56" s="5"/>
      <c r="V56" s="5"/>
      <c r="W56" s="5"/>
      <c r="X56" s="5"/>
      <c r="Y56" s="5"/>
      <c r="Z56" s="5"/>
    </row>
    <row r="57">
      <c r="A57" s="37" t="str">
        <f>IFERROR(__xludf.DUMMYFUNCTION("""COMPUTED_VALUE"""),"Cravey 2.0 Deals")</f>
        <v>Cravey 2.0 Deals</v>
      </c>
      <c r="B57" s="38" t="str">
        <f>IFERROR(__xludf.DUMMYFUNCTION("""COMPUTED_VALUE"""),"Deal 1")</f>
        <v>Deal 1</v>
      </c>
      <c r="C57" s="38" t="str">
        <f>IFERROR(__xludf.DUMMYFUNCTION("""COMPUTED_VALUE"""),"Combo")</f>
        <v>Combo</v>
      </c>
      <c r="D57" s="39">
        <f>IFERROR(__xludf.DUMMYFUNCTION("""COMPUTED_VALUE"""),1099.0)</f>
        <v>1099</v>
      </c>
      <c r="E57" s="40" t="str">
        <f>IFERROR(__xludf.DUMMYFUNCTION("""COMPUTED_VALUE"""),"Yes")</f>
        <v>Yes</v>
      </c>
      <c r="F57" s="41">
        <f>IFERROR(__xludf.DUMMYFUNCTION("""COMPUTED_VALUE"""),0.0)</f>
        <v>0</v>
      </c>
      <c r="G57" s="39">
        <f>IFERROR(__xludf.DUMMYFUNCTION("""COMPUTED_VALUE"""),0.0)</f>
        <v>0</v>
      </c>
      <c r="H57" s="39">
        <f>IFERROR(__xludf.DUMMYFUNCTION("""COMPUTED_VALUE"""),1099.0)</f>
        <v>1099</v>
      </c>
      <c r="I57" s="42" t="str">
        <f>IFERROR(__xludf.DUMMYFUNCTION("""COMPUTED_VALUE"""),"Deal Excluded")</f>
        <v>Deal Excluded</v>
      </c>
      <c r="J57" s="43"/>
      <c r="K57" s="44"/>
      <c r="L57" s="44"/>
      <c r="M57" s="44"/>
      <c r="N57" s="45"/>
      <c r="O57" s="5"/>
      <c r="P57" s="5"/>
      <c r="Q57" s="5"/>
      <c r="R57" s="5"/>
      <c r="S57" s="5"/>
      <c r="T57" s="5"/>
      <c r="U57" s="5"/>
      <c r="V57" s="5"/>
      <c r="W57" s="5"/>
      <c r="X57" s="5"/>
      <c r="Y57" s="5"/>
      <c r="Z57" s="5"/>
    </row>
    <row r="58">
      <c r="A58" s="37" t="str">
        <f>IFERROR(__xludf.DUMMYFUNCTION("""COMPUTED_VALUE"""),"Cravey 2.0 Deals")</f>
        <v>Cravey 2.0 Deals</v>
      </c>
      <c r="B58" s="38" t="str">
        <f>IFERROR(__xludf.DUMMYFUNCTION("""COMPUTED_VALUE"""),"Deal 2")</f>
        <v>Deal 2</v>
      </c>
      <c r="C58" s="38" t="str">
        <f>IFERROR(__xludf.DUMMYFUNCTION("""COMPUTED_VALUE"""),"Combo")</f>
        <v>Combo</v>
      </c>
      <c r="D58" s="39">
        <f>IFERROR(__xludf.DUMMYFUNCTION("""COMPUTED_VALUE"""),2099.0)</f>
        <v>2099</v>
      </c>
      <c r="E58" s="40" t="str">
        <f>IFERROR(__xludf.DUMMYFUNCTION("""COMPUTED_VALUE"""),"Yes")</f>
        <v>Yes</v>
      </c>
      <c r="F58" s="41">
        <f>IFERROR(__xludf.DUMMYFUNCTION("""COMPUTED_VALUE"""),0.0)</f>
        <v>0</v>
      </c>
      <c r="G58" s="39">
        <f>IFERROR(__xludf.DUMMYFUNCTION("""COMPUTED_VALUE"""),0.0)</f>
        <v>0</v>
      </c>
      <c r="H58" s="39">
        <f>IFERROR(__xludf.DUMMYFUNCTION("""COMPUTED_VALUE"""),2099.0)</f>
        <v>2099</v>
      </c>
      <c r="I58" s="42" t="str">
        <f>IFERROR(__xludf.DUMMYFUNCTION("""COMPUTED_VALUE"""),"Deal Excluded")</f>
        <v>Deal Excluded</v>
      </c>
      <c r="J58" s="43"/>
      <c r="K58" s="44"/>
      <c r="L58" s="44"/>
      <c r="M58" s="44"/>
      <c r="N58" s="45"/>
      <c r="O58" s="5"/>
      <c r="P58" s="5"/>
      <c r="Q58" s="5"/>
      <c r="R58" s="5"/>
      <c r="S58" s="5"/>
      <c r="T58" s="5"/>
      <c r="U58" s="5"/>
      <c r="V58" s="5"/>
      <c r="W58" s="5"/>
      <c r="X58" s="5"/>
      <c r="Y58" s="5"/>
      <c r="Z58" s="5"/>
    </row>
    <row r="59">
      <c r="A59" s="37" t="str">
        <f>IFERROR(__xludf.DUMMYFUNCTION("""COMPUTED_VALUE"""),"Cravey 2.0 Deals")</f>
        <v>Cravey 2.0 Deals</v>
      </c>
      <c r="B59" s="38" t="str">
        <f>IFERROR(__xludf.DUMMYFUNCTION("""COMPUTED_VALUE"""),"Deal 3")</f>
        <v>Deal 3</v>
      </c>
      <c r="C59" s="38" t="str">
        <f>IFERROR(__xludf.DUMMYFUNCTION("""COMPUTED_VALUE"""),"Combo")</f>
        <v>Combo</v>
      </c>
      <c r="D59" s="39">
        <f>IFERROR(__xludf.DUMMYFUNCTION("""COMPUTED_VALUE"""),2999.0)</f>
        <v>2999</v>
      </c>
      <c r="E59" s="40" t="str">
        <f>IFERROR(__xludf.DUMMYFUNCTION("""COMPUTED_VALUE"""),"Yes")</f>
        <v>Yes</v>
      </c>
      <c r="F59" s="41">
        <f>IFERROR(__xludf.DUMMYFUNCTION("""COMPUTED_VALUE"""),0.0)</f>
        <v>0</v>
      </c>
      <c r="G59" s="39">
        <f>IFERROR(__xludf.DUMMYFUNCTION("""COMPUTED_VALUE"""),0.0)</f>
        <v>0</v>
      </c>
      <c r="H59" s="39">
        <f>IFERROR(__xludf.DUMMYFUNCTION("""COMPUTED_VALUE"""),2999.0)</f>
        <v>2999</v>
      </c>
      <c r="I59" s="42" t="str">
        <f>IFERROR(__xludf.DUMMYFUNCTION("""COMPUTED_VALUE"""),"Deal Excluded")</f>
        <v>Deal Excluded</v>
      </c>
      <c r="J59" s="43"/>
      <c r="K59" s="44"/>
      <c r="L59" s="44"/>
      <c r="M59" s="44"/>
      <c r="N59" s="45"/>
      <c r="O59" s="5"/>
      <c r="P59" s="5"/>
      <c r="Q59" s="5"/>
      <c r="R59" s="5"/>
      <c r="S59" s="5"/>
      <c r="T59" s="5"/>
      <c r="U59" s="5"/>
      <c r="V59" s="5"/>
      <c r="W59" s="5"/>
      <c r="X59" s="5"/>
      <c r="Y59" s="5"/>
      <c r="Z59" s="5"/>
    </row>
    <row r="60">
      <c r="A60" s="37" t="str">
        <f>IFERROR(__xludf.DUMMYFUNCTION("""COMPUTED_VALUE"""),"Cravey 2.0 Deals")</f>
        <v>Cravey 2.0 Deals</v>
      </c>
      <c r="B60" s="38" t="str">
        <f>IFERROR(__xludf.DUMMYFUNCTION("""COMPUTED_VALUE"""),"Deal 4")</f>
        <v>Deal 4</v>
      </c>
      <c r="C60" s="38" t="str">
        <f>IFERROR(__xludf.DUMMYFUNCTION("""COMPUTED_VALUE"""),"Burger Feast")</f>
        <v>Burger Feast</v>
      </c>
      <c r="D60" s="39">
        <f>IFERROR(__xludf.DUMMYFUNCTION("""COMPUTED_VALUE"""),999.0)</f>
        <v>999</v>
      </c>
      <c r="E60" s="40" t="str">
        <f>IFERROR(__xludf.DUMMYFUNCTION("""COMPUTED_VALUE"""),"Yes")</f>
        <v>Yes</v>
      </c>
      <c r="F60" s="41">
        <f>IFERROR(__xludf.DUMMYFUNCTION("""COMPUTED_VALUE"""),0.0)</f>
        <v>0</v>
      </c>
      <c r="G60" s="39">
        <f>IFERROR(__xludf.DUMMYFUNCTION("""COMPUTED_VALUE"""),0.0)</f>
        <v>0</v>
      </c>
      <c r="H60" s="39">
        <f>IFERROR(__xludf.DUMMYFUNCTION("""COMPUTED_VALUE"""),999.0)</f>
        <v>999</v>
      </c>
      <c r="I60" s="42" t="str">
        <f>IFERROR(__xludf.DUMMYFUNCTION("""COMPUTED_VALUE"""),"Deal Excluded")</f>
        <v>Deal Excluded</v>
      </c>
      <c r="J60" s="43"/>
      <c r="K60" s="44"/>
      <c r="L60" s="44"/>
      <c r="M60" s="44"/>
      <c r="N60" s="45"/>
      <c r="O60" s="5"/>
      <c r="P60" s="5"/>
      <c r="Q60" s="5"/>
      <c r="R60" s="5"/>
      <c r="S60" s="5"/>
      <c r="T60" s="5"/>
      <c r="U60" s="5"/>
      <c r="V60" s="5"/>
      <c r="W60" s="5"/>
      <c r="X60" s="5"/>
      <c r="Y60" s="5"/>
      <c r="Z60" s="5"/>
    </row>
    <row r="61">
      <c r="A61" s="37" t="str">
        <f>IFERROR(__xludf.DUMMYFUNCTION("""COMPUTED_VALUE"""),"Cravey 2.0 Deals")</f>
        <v>Cravey 2.0 Deals</v>
      </c>
      <c r="B61" s="38" t="str">
        <f>IFERROR(__xludf.DUMMYFUNCTION("""COMPUTED_VALUE"""),"Deal 5")</f>
        <v>Deal 5</v>
      </c>
      <c r="C61" s="38" t="str">
        <f>IFERROR(__xludf.DUMMYFUNCTION("""COMPUTED_VALUE"""),"Burger Feast")</f>
        <v>Burger Feast</v>
      </c>
      <c r="D61" s="39">
        <f>IFERROR(__xludf.DUMMYFUNCTION("""COMPUTED_VALUE"""),1099.0)</f>
        <v>1099</v>
      </c>
      <c r="E61" s="40" t="str">
        <f>IFERROR(__xludf.DUMMYFUNCTION("""COMPUTED_VALUE"""),"Yes")</f>
        <v>Yes</v>
      </c>
      <c r="F61" s="41">
        <f>IFERROR(__xludf.DUMMYFUNCTION("""COMPUTED_VALUE"""),0.0)</f>
        <v>0</v>
      </c>
      <c r="G61" s="39">
        <f>IFERROR(__xludf.DUMMYFUNCTION("""COMPUTED_VALUE"""),0.0)</f>
        <v>0</v>
      </c>
      <c r="H61" s="39">
        <f>IFERROR(__xludf.DUMMYFUNCTION("""COMPUTED_VALUE"""),1099.0)</f>
        <v>1099</v>
      </c>
      <c r="I61" s="42" t="str">
        <f>IFERROR(__xludf.DUMMYFUNCTION("""COMPUTED_VALUE"""),"Deal Excluded")</f>
        <v>Deal Excluded</v>
      </c>
      <c r="J61" s="43"/>
      <c r="K61" s="44"/>
      <c r="L61" s="44"/>
      <c r="M61" s="44"/>
      <c r="N61" s="45"/>
      <c r="O61" s="5"/>
      <c r="P61" s="5"/>
      <c r="Q61" s="5"/>
      <c r="R61" s="5"/>
      <c r="S61" s="5"/>
      <c r="T61" s="5"/>
      <c r="U61" s="5"/>
      <c r="V61" s="5"/>
      <c r="W61" s="5"/>
      <c r="X61" s="5"/>
      <c r="Y61" s="5"/>
      <c r="Z61" s="5"/>
    </row>
    <row r="62">
      <c r="A62" s="37" t="str">
        <f>IFERROR(__xludf.DUMMYFUNCTION("""COMPUTED_VALUE"""),"Drinks")</f>
        <v>Drinks</v>
      </c>
      <c r="B62" s="38" t="str">
        <f>IFERROR(__xludf.DUMMYFUNCTION("""COMPUTED_VALUE"""),"Soft Drink")</f>
        <v>Soft Drink</v>
      </c>
      <c r="C62" s="38" t="str">
        <f>IFERROR(__xludf.DUMMYFUNCTION("""COMPUTED_VALUE"""),"Regular")</f>
        <v>Regular</v>
      </c>
      <c r="D62" s="39">
        <f>IFERROR(__xludf.DUMMYFUNCTION("""COMPUTED_VALUE"""),110.0)</f>
        <v>110</v>
      </c>
      <c r="E62" s="40" t="str">
        <f>IFERROR(__xludf.DUMMYFUNCTION("""COMPUTED_VALUE"""),"Yes")</f>
        <v>Yes</v>
      </c>
      <c r="F62" s="41">
        <f>IFERROR(__xludf.DUMMYFUNCTION("""COMPUTED_VALUE"""),0.0)</f>
        <v>0</v>
      </c>
      <c r="G62" s="39">
        <f>IFERROR(__xludf.DUMMYFUNCTION("""COMPUTED_VALUE"""),0.0)</f>
        <v>0</v>
      </c>
      <c r="H62" s="39">
        <f>IFERROR(__xludf.DUMMYFUNCTION("""COMPUTED_VALUE"""),110.0)</f>
        <v>110</v>
      </c>
      <c r="I62" s="42" t="str">
        <f>IFERROR(__xludf.DUMMYFUNCTION("""COMPUTED_VALUE"""),"Below Min Price")</f>
        <v>Below Min Price</v>
      </c>
      <c r="J62" s="43"/>
      <c r="K62" s="44"/>
      <c r="L62" s="44"/>
      <c r="M62" s="44"/>
      <c r="N62" s="45"/>
      <c r="O62" s="5"/>
      <c r="P62" s="5"/>
      <c r="Q62" s="5"/>
      <c r="R62" s="5"/>
      <c r="S62" s="5"/>
      <c r="T62" s="5"/>
      <c r="U62" s="5"/>
      <c r="V62" s="5"/>
      <c r="W62" s="5"/>
      <c r="X62" s="5"/>
      <c r="Y62" s="5"/>
      <c r="Z62" s="5"/>
    </row>
    <row r="63">
      <c r="A63" s="37" t="str">
        <f>IFERROR(__xludf.DUMMYFUNCTION("""COMPUTED_VALUE"""),"Drinks")</f>
        <v>Drinks</v>
      </c>
      <c r="B63" s="38" t="str">
        <f>IFERROR(__xludf.DUMMYFUNCTION("""COMPUTED_VALUE"""),"Soft Drink")</f>
        <v>Soft Drink</v>
      </c>
      <c r="C63" s="38" t="str">
        <f>IFERROR(__xludf.DUMMYFUNCTION("""COMPUTED_VALUE"""),"Can")</f>
        <v>Can</v>
      </c>
      <c r="D63" s="39">
        <f>IFERROR(__xludf.DUMMYFUNCTION("""COMPUTED_VALUE"""),130.0)</f>
        <v>130</v>
      </c>
      <c r="E63" s="40" t="str">
        <f>IFERROR(__xludf.DUMMYFUNCTION("""COMPUTED_VALUE"""),"Yes")</f>
        <v>Yes</v>
      </c>
      <c r="F63" s="41">
        <f>IFERROR(__xludf.DUMMYFUNCTION("""COMPUTED_VALUE"""),0.0)</f>
        <v>0</v>
      </c>
      <c r="G63" s="39">
        <f>IFERROR(__xludf.DUMMYFUNCTION("""COMPUTED_VALUE"""),0.0)</f>
        <v>0</v>
      </c>
      <c r="H63" s="39">
        <f>IFERROR(__xludf.DUMMYFUNCTION("""COMPUTED_VALUE"""),130.0)</f>
        <v>130</v>
      </c>
      <c r="I63" s="42" t="str">
        <f>IFERROR(__xludf.DUMMYFUNCTION("""COMPUTED_VALUE"""),"Below Min Price")</f>
        <v>Below Min Price</v>
      </c>
      <c r="J63" s="43"/>
      <c r="K63" s="44"/>
      <c r="L63" s="44"/>
      <c r="M63" s="44"/>
      <c r="N63" s="45"/>
      <c r="O63" s="5"/>
      <c r="P63" s="5"/>
      <c r="Q63" s="5"/>
      <c r="R63" s="5"/>
      <c r="S63" s="5"/>
      <c r="T63" s="5"/>
      <c r="U63" s="5"/>
      <c r="V63" s="5"/>
      <c r="W63" s="5"/>
      <c r="X63" s="5"/>
      <c r="Y63" s="5"/>
      <c r="Z63" s="5"/>
    </row>
    <row r="64">
      <c r="A64" s="37" t="str">
        <f>IFERROR(__xludf.DUMMYFUNCTION("""COMPUTED_VALUE"""),"Drinks")</f>
        <v>Drinks</v>
      </c>
      <c r="B64" s="38" t="str">
        <f>IFERROR(__xludf.DUMMYFUNCTION("""COMPUTED_VALUE"""),"Soft Drink")</f>
        <v>Soft Drink</v>
      </c>
      <c r="C64" s="38" t="str">
        <f>IFERROR(__xludf.DUMMYFUNCTION("""COMPUTED_VALUE"""),"1 Liter")</f>
        <v>1 Liter</v>
      </c>
      <c r="D64" s="39">
        <f>IFERROR(__xludf.DUMMYFUNCTION("""COMPUTED_VALUE"""),200.0)</f>
        <v>200</v>
      </c>
      <c r="E64" s="40" t="str">
        <f>IFERROR(__xludf.DUMMYFUNCTION("""COMPUTED_VALUE"""),"Yes")</f>
        <v>Yes</v>
      </c>
      <c r="F64" s="41">
        <f>IFERROR(__xludf.DUMMYFUNCTION("""COMPUTED_VALUE"""),0.0)</f>
        <v>0</v>
      </c>
      <c r="G64" s="39">
        <f>IFERROR(__xludf.DUMMYFUNCTION("""COMPUTED_VALUE"""),0.0)</f>
        <v>0</v>
      </c>
      <c r="H64" s="39">
        <f>IFERROR(__xludf.DUMMYFUNCTION("""COMPUTED_VALUE"""),200.0)</f>
        <v>200</v>
      </c>
      <c r="I64" s="42" t="str">
        <f>IFERROR(__xludf.DUMMYFUNCTION("""COMPUTED_VALUE"""),"Below Min Price")</f>
        <v>Below Min Price</v>
      </c>
      <c r="J64" s="43"/>
      <c r="K64" s="44"/>
      <c r="L64" s="44"/>
      <c r="M64" s="44"/>
      <c r="N64" s="45"/>
      <c r="O64" s="5"/>
      <c r="P64" s="5"/>
      <c r="Q64" s="5"/>
      <c r="R64" s="5"/>
      <c r="S64" s="5"/>
      <c r="T64" s="5"/>
      <c r="U64" s="5"/>
      <c r="V64" s="5"/>
      <c r="W64" s="5"/>
      <c r="X64" s="5"/>
      <c r="Y64" s="5"/>
      <c r="Z64" s="5"/>
    </row>
    <row r="65">
      <c r="A65" s="37" t="str">
        <f>IFERROR(__xludf.DUMMYFUNCTION("""COMPUTED_VALUE"""),"Drinks")</f>
        <v>Drinks</v>
      </c>
      <c r="B65" s="38" t="str">
        <f>IFERROR(__xludf.DUMMYFUNCTION("""COMPUTED_VALUE"""),"Soft Drink")</f>
        <v>Soft Drink</v>
      </c>
      <c r="C65" s="38" t="str">
        <f>IFERROR(__xludf.DUMMYFUNCTION("""COMPUTED_VALUE"""),"1.5 Liter")</f>
        <v>1.5 Liter</v>
      </c>
      <c r="D65" s="39">
        <f>IFERROR(__xludf.DUMMYFUNCTION("""COMPUTED_VALUE"""),240.0)</f>
        <v>240</v>
      </c>
      <c r="E65" s="40" t="str">
        <f>IFERROR(__xludf.DUMMYFUNCTION("""COMPUTED_VALUE"""),"Yes")</f>
        <v>Yes</v>
      </c>
      <c r="F65" s="41">
        <f>IFERROR(__xludf.DUMMYFUNCTION("""COMPUTED_VALUE"""),0.0)</f>
        <v>0</v>
      </c>
      <c r="G65" s="39">
        <f>IFERROR(__xludf.DUMMYFUNCTION("""COMPUTED_VALUE"""),0.0)</f>
        <v>0</v>
      </c>
      <c r="H65" s="39">
        <f>IFERROR(__xludf.DUMMYFUNCTION("""COMPUTED_VALUE"""),240.0)</f>
        <v>240</v>
      </c>
      <c r="I65" s="42" t="str">
        <f>IFERROR(__xludf.DUMMYFUNCTION("""COMPUTED_VALUE"""),"Below Min Price")</f>
        <v>Below Min Price</v>
      </c>
      <c r="J65" s="43"/>
      <c r="K65" s="44"/>
      <c r="L65" s="44"/>
      <c r="M65" s="44"/>
      <c r="N65" s="45"/>
      <c r="O65" s="5"/>
      <c r="P65" s="5"/>
      <c r="Q65" s="5"/>
      <c r="R65" s="5"/>
      <c r="S65" s="5"/>
      <c r="T65" s="5"/>
      <c r="U65" s="5"/>
      <c r="V65" s="5"/>
      <c r="W65" s="5"/>
      <c r="X65" s="5"/>
      <c r="Y65" s="5"/>
      <c r="Z65" s="5"/>
    </row>
    <row r="66">
      <c r="A66" s="37" t="str">
        <f>IFERROR(__xludf.DUMMYFUNCTION("""COMPUTED_VALUE"""),"Drinks")</f>
        <v>Drinks</v>
      </c>
      <c r="B66" s="38" t="str">
        <f>IFERROR(__xludf.DUMMYFUNCTION("""COMPUTED_VALUE"""),"Mineral Water")</f>
        <v>Mineral Water</v>
      </c>
      <c r="C66" s="38" t="str">
        <f>IFERROR(__xludf.DUMMYFUNCTION("""COMPUTED_VALUE"""),"Regular Bottle")</f>
        <v>Regular Bottle</v>
      </c>
      <c r="D66" s="39">
        <f>IFERROR(__xludf.DUMMYFUNCTION("""COMPUTED_VALUE"""),70.0)</f>
        <v>70</v>
      </c>
      <c r="E66" s="40" t="str">
        <f>IFERROR(__xludf.DUMMYFUNCTION("""COMPUTED_VALUE"""),"Yes")</f>
        <v>Yes</v>
      </c>
      <c r="F66" s="41">
        <f>IFERROR(__xludf.DUMMYFUNCTION("""COMPUTED_VALUE"""),0.0)</f>
        <v>0</v>
      </c>
      <c r="G66" s="39">
        <f>IFERROR(__xludf.DUMMYFUNCTION("""COMPUTED_VALUE"""),0.0)</f>
        <v>0</v>
      </c>
      <c r="H66" s="39">
        <f>IFERROR(__xludf.DUMMYFUNCTION("""COMPUTED_VALUE"""),70.0)</f>
        <v>70</v>
      </c>
      <c r="I66" s="42" t="str">
        <f>IFERROR(__xludf.DUMMYFUNCTION("""COMPUTED_VALUE"""),"Below Min Price")</f>
        <v>Below Min Price</v>
      </c>
      <c r="J66" s="43"/>
      <c r="K66" s="44"/>
      <c r="L66" s="44"/>
      <c r="M66" s="44"/>
      <c r="N66" s="45"/>
      <c r="O66" s="5"/>
      <c r="P66" s="5"/>
      <c r="Q66" s="5"/>
      <c r="R66" s="5"/>
      <c r="S66" s="5"/>
      <c r="T66" s="5"/>
      <c r="U66" s="5"/>
      <c r="V66" s="5"/>
      <c r="W66" s="5"/>
      <c r="X66" s="5"/>
      <c r="Y66" s="5"/>
      <c r="Z66" s="5"/>
    </row>
    <row r="67">
      <c r="A67" s="37"/>
      <c r="B67" s="38"/>
      <c r="C67" s="38"/>
      <c r="D67" s="39"/>
      <c r="E67" s="40"/>
      <c r="F67" s="41"/>
      <c r="G67" s="39"/>
      <c r="H67" s="39"/>
      <c r="I67" s="42"/>
      <c r="J67" s="43"/>
      <c r="K67" s="44"/>
      <c r="L67" s="44"/>
      <c r="M67" s="44"/>
      <c r="N67" s="45"/>
      <c r="O67" s="5"/>
      <c r="P67" s="5"/>
      <c r="Q67" s="5"/>
      <c r="R67" s="5"/>
      <c r="S67" s="5"/>
      <c r="T67" s="5"/>
      <c r="U67" s="5"/>
      <c r="V67" s="5"/>
      <c r="W67" s="5"/>
      <c r="X67" s="5"/>
      <c r="Y67" s="5"/>
      <c r="Z67" s="5"/>
    </row>
    <row r="68">
      <c r="A68" s="47"/>
      <c r="B68" s="48"/>
      <c r="C68" s="48"/>
      <c r="D68" s="49"/>
      <c r="E68" s="50"/>
      <c r="F68" s="51"/>
      <c r="G68" s="49"/>
      <c r="H68" s="49"/>
      <c r="I68" s="52"/>
      <c r="J68" s="5"/>
      <c r="K68" s="5"/>
      <c r="L68" s="5"/>
      <c r="M68" s="5"/>
      <c r="N68" s="5"/>
      <c r="O68" s="5"/>
      <c r="P68" s="5"/>
      <c r="Q68" s="5"/>
      <c r="R68" s="5"/>
      <c r="S68" s="5"/>
      <c r="T68" s="5"/>
      <c r="U68" s="5"/>
      <c r="V68" s="5"/>
      <c r="W68" s="5"/>
      <c r="X68" s="5"/>
      <c r="Y68" s="5"/>
      <c r="Z68" s="5"/>
    </row>
    <row r="69">
      <c r="A69" s="53"/>
      <c r="B69" s="53"/>
      <c r="C69" s="53"/>
      <c r="D69" s="54"/>
      <c r="E69" s="55"/>
      <c r="F69" s="56"/>
      <c r="G69" s="54"/>
      <c r="H69" s="54"/>
      <c r="I69" s="55"/>
      <c r="J69" s="5"/>
      <c r="K69" s="5"/>
      <c r="L69" s="5"/>
      <c r="M69" s="5"/>
      <c r="N69" s="5"/>
      <c r="O69" s="5"/>
      <c r="P69" s="5"/>
      <c r="Q69" s="5"/>
      <c r="R69" s="5"/>
      <c r="S69" s="5"/>
      <c r="T69" s="5"/>
      <c r="U69" s="5"/>
      <c r="V69" s="5"/>
      <c r="W69" s="5"/>
      <c r="X69" s="5"/>
      <c r="Y69" s="5"/>
      <c r="Z69" s="5"/>
    </row>
    <row r="70">
      <c r="A70" s="53"/>
      <c r="B70" s="53"/>
      <c r="C70" s="53"/>
      <c r="D70" s="54"/>
      <c r="E70" s="55"/>
      <c r="F70" s="56"/>
      <c r="G70" s="54"/>
      <c r="H70" s="54"/>
      <c r="I70" s="55"/>
      <c r="J70" s="5"/>
      <c r="K70" s="5"/>
      <c r="L70" s="5"/>
      <c r="M70" s="5"/>
      <c r="N70" s="5"/>
      <c r="O70" s="5"/>
      <c r="P70" s="5"/>
      <c r="Q70" s="5"/>
      <c r="R70" s="5"/>
      <c r="S70" s="5"/>
      <c r="T70" s="5"/>
      <c r="U70" s="5"/>
      <c r="V70" s="5"/>
      <c r="W70" s="5"/>
      <c r="X70" s="5"/>
      <c r="Y70" s="5"/>
      <c r="Z70" s="5"/>
    </row>
    <row r="71">
      <c r="A71" s="53"/>
      <c r="B71" s="53"/>
      <c r="C71" s="53"/>
      <c r="D71" s="54"/>
      <c r="E71" s="55"/>
      <c r="F71" s="56"/>
      <c r="G71" s="54"/>
      <c r="H71" s="54"/>
      <c r="I71" s="55"/>
      <c r="J71" s="5"/>
      <c r="K71" s="5"/>
      <c r="L71" s="5"/>
      <c r="M71" s="5"/>
      <c r="N71" s="5"/>
      <c r="O71" s="5"/>
      <c r="P71" s="5"/>
      <c r="Q71" s="5"/>
      <c r="R71" s="5"/>
      <c r="S71" s="5"/>
      <c r="T71" s="5"/>
      <c r="U71" s="5"/>
      <c r="V71" s="5"/>
      <c r="W71" s="5"/>
      <c r="X71" s="5"/>
      <c r="Y71" s="5"/>
      <c r="Z71" s="5"/>
    </row>
    <row r="72">
      <c r="A72" s="53"/>
      <c r="B72" s="53"/>
      <c r="C72" s="53"/>
      <c r="D72" s="54"/>
      <c r="E72" s="55"/>
      <c r="F72" s="56"/>
      <c r="G72" s="54"/>
      <c r="H72" s="54"/>
      <c r="I72" s="55"/>
      <c r="J72" s="5"/>
      <c r="K72" s="5"/>
      <c r="L72" s="5"/>
      <c r="M72" s="5"/>
      <c r="N72" s="5"/>
      <c r="O72" s="5"/>
      <c r="P72" s="5"/>
      <c r="Q72" s="5"/>
      <c r="R72" s="5"/>
      <c r="S72" s="5"/>
      <c r="T72" s="5"/>
      <c r="U72" s="5"/>
      <c r="V72" s="5"/>
      <c r="W72" s="5"/>
      <c r="X72" s="5"/>
      <c r="Y72" s="5"/>
      <c r="Z72" s="5"/>
    </row>
    <row r="73">
      <c r="A73" s="53"/>
      <c r="B73" s="53"/>
      <c r="C73" s="53"/>
      <c r="D73" s="54"/>
      <c r="E73" s="55"/>
      <c r="F73" s="56"/>
      <c r="G73" s="54"/>
      <c r="H73" s="54"/>
      <c r="I73" s="55"/>
      <c r="J73" s="5"/>
      <c r="K73" s="5"/>
      <c r="L73" s="5"/>
      <c r="M73" s="5"/>
      <c r="N73" s="5"/>
      <c r="O73" s="5"/>
      <c r="P73" s="5"/>
      <c r="Q73" s="5"/>
      <c r="R73" s="5"/>
      <c r="S73" s="5"/>
      <c r="T73" s="5"/>
      <c r="U73" s="5"/>
      <c r="V73" s="5"/>
      <c r="W73" s="5"/>
      <c r="X73" s="5"/>
      <c r="Y73" s="5"/>
      <c r="Z73" s="5"/>
    </row>
    <row r="74">
      <c r="A74" s="53"/>
      <c r="D74" s="54"/>
      <c r="E74" s="55"/>
      <c r="F74" s="56"/>
      <c r="G74" s="54"/>
      <c r="H74" s="54"/>
      <c r="I74" s="55"/>
      <c r="J74" s="5"/>
      <c r="K74" s="5"/>
      <c r="L74" s="5"/>
      <c r="M74" s="5"/>
      <c r="N74" s="5"/>
      <c r="O74" s="5"/>
      <c r="P74" s="5"/>
      <c r="Q74" s="5"/>
      <c r="R74" s="5"/>
      <c r="S74" s="5"/>
      <c r="T74" s="5"/>
      <c r="U74" s="5"/>
      <c r="V74" s="5"/>
      <c r="W74" s="5"/>
      <c r="X74" s="5"/>
      <c r="Y74" s="5"/>
      <c r="Z74" s="5"/>
    </row>
    <row r="75">
      <c r="A75" s="53"/>
      <c r="B75" s="53"/>
      <c r="C75" s="53"/>
      <c r="D75" s="54"/>
      <c r="E75" s="55"/>
      <c r="F75" s="56"/>
      <c r="G75" s="54"/>
      <c r="H75" s="54"/>
      <c r="I75" s="55"/>
      <c r="J75" s="5"/>
      <c r="K75" s="5"/>
      <c r="L75" s="5"/>
      <c r="M75" s="5"/>
      <c r="N75" s="5"/>
      <c r="O75" s="5"/>
      <c r="P75" s="5"/>
      <c r="Q75" s="5"/>
      <c r="R75" s="5"/>
      <c r="S75" s="5"/>
      <c r="T75" s="5"/>
      <c r="U75" s="5"/>
      <c r="V75" s="5"/>
      <c r="W75" s="5"/>
      <c r="X75" s="5"/>
      <c r="Y75" s="5"/>
      <c r="Z75" s="5"/>
    </row>
    <row r="76">
      <c r="A76" s="53"/>
      <c r="B76" s="53"/>
      <c r="C76" s="53"/>
      <c r="D76" s="54"/>
      <c r="E76" s="55"/>
      <c r="F76" s="56"/>
      <c r="G76" s="54"/>
      <c r="H76" s="54"/>
      <c r="I76" s="55"/>
      <c r="J76" s="5"/>
      <c r="K76" s="5"/>
      <c r="L76" s="5"/>
      <c r="M76" s="5"/>
      <c r="N76" s="5"/>
      <c r="O76" s="5"/>
      <c r="P76" s="5"/>
      <c r="Q76" s="5"/>
      <c r="R76" s="5"/>
      <c r="S76" s="5"/>
      <c r="T76" s="5"/>
      <c r="U76" s="5"/>
      <c r="V76" s="5"/>
      <c r="W76" s="5"/>
      <c r="X76" s="5"/>
      <c r="Y76" s="5"/>
      <c r="Z76" s="5"/>
    </row>
    <row r="77">
      <c r="A77" s="53"/>
      <c r="B77" s="53"/>
      <c r="C77" s="53"/>
      <c r="D77" s="54"/>
      <c r="E77" s="55"/>
      <c r="F77" s="56"/>
      <c r="G77" s="54"/>
      <c r="H77" s="54"/>
      <c r="I77" s="55"/>
      <c r="J77" s="5"/>
      <c r="K77" s="5"/>
      <c r="L77" s="5"/>
      <c r="M77" s="5"/>
      <c r="N77" s="5"/>
      <c r="O77" s="5"/>
      <c r="P77" s="5"/>
      <c r="Q77" s="5"/>
      <c r="R77" s="5"/>
      <c r="S77" s="5"/>
      <c r="T77" s="5"/>
      <c r="U77" s="5"/>
      <c r="V77" s="5"/>
      <c r="W77" s="5"/>
      <c r="X77" s="5"/>
      <c r="Y77" s="5"/>
      <c r="Z77" s="5"/>
    </row>
    <row r="78">
      <c r="A78" s="53"/>
      <c r="B78" s="53"/>
      <c r="C78" s="53"/>
      <c r="D78" s="54"/>
      <c r="E78" s="55"/>
      <c r="F78" s="56"/>
      <c r="G78" s="54"/>
      <c r="H78" s="54"/>
      <c r="I78" s="55"/>
      <c r="J78" s="5"/>
      <c r="K78" s="5"/>
      <c r="L78" s="5"/>
      <c r="M78" s="5"/>
      <c r="N78" s="5"/>
      <c r="O78" s="5"/>
      <c r="P78" s="5"/>
      <c r="Q78" s="5"/>
      <c r="R78" s="5"/>
      <c r="S78" s="5"/>
      <c r="T78" s="5"/>
      <c r="U78" s="5"/>
      <c r="V78" s="5"/>
      <c r="W78" s="5"/>
      <c r="X78" s="5"/>
      <c r="Y78" s="5"/>
      <c r="Z78" s="5"/>
    </row>
    <row r="79">
      <c r="A79" s="53"/>
      <c r="B79" s="53"/>
      <c r="C79" s="53"/>
      <c r="D79" s="54"/>
      <c r="E79" s="55"/>
      <c r="F79" s="56"/>
      <c r="G79" s="54"/>
      <c r="H79" s="54"/>
      <c r="I79" s="55"/>
      <c r="J79" s="5"/>
      <c r="K79" s="5"/>
      <c r="L79" s="5"/>
      <c r="M79" s="5"/>
      <c r="N79" s="5"/>
      <c r="O79" s="5"/>
      <c r="P79" s="5"/>
      <c r="Q79" s="5"/>
      <c r="R79" s="5"/>
      <c r="S79" s="5"/>
      <c r="T79" s="5"/>
      <c r="U79" s="5"/>
      <c r="V79" s="5"/>
      <c r="W79" s="5"/>
      <c r="X79" s="5"/>
      <c r="Y79" s="5"/>
      <c r="Z79" s="5"/>
    </row>
    <row r="80">
      <c r="A80" s="53"/>
      <c r="B80" s="53"/>
      <c r="C80" s="53"/>
      <c r="D80" s="54"/>
      <c r="E80" s="55"/>
      <c r="F80" s="56"/>
      <c r="G80" s="54"/>
      <c r="H80" s="54"/>
      <c r="I80" s="55"/>
      <c r="J80" s="5"/>
      <c r="K80" s="5"/>
      <c r="L80" s="5"/>
      <c r="M80" s="5"/>
      <c r="N80" s="5"/>
      <c r="O80" s="5"/>
      <c r="P80" s="5"/>
      <c r="Q80" s="5"/>
      <c r="R80" s="5"/>
      <c r="S80" s="5"/>
      <c r="T80" s="5"/>
      <c r="U80" s="5"/>
      <c r="V80" s="5"/>
      <c r="W80" s="5"/>
      <c r="X80" s="5"/>
      <c r="Y80" s="5"/>
      <c r="Z80" s="5"/>
    </row>
    <row r="81">
      <c r="A81" s="53"/>
      <c r="B81" s="53"/>
      <c r="C81" s="53"/>
      <c r="D81" s="54"/>
      <c r="E81" s="55"/>
      <c r="F81" s="56"/>
      <c r="G81" s="54"/>
      <c r="H81" s="54"/>
      <c r="I81" s="55"/>
      <c r="J81" s="5"/>
      <c r="K81" s="5"/>
      <c r="L81" s="5"/>
      <c r="M81" s="5"/>
      <c r="N81" s="5"/>
      <c r="O81" s="5"/>
      <c r="P81" s="5"/>
      <c r="Q81" s="5"/>
      <c r="R81" s="5"/>
      <c r="S81" s="5"/>
      <c r="T81" s="5"/>
      <c r="U81" s="5"/>
      <c r="V81" s="5"/>
      <c r="W81" s="5"/>
      <c r="X81" s="5"/>
      <c r="Y81" s="5"/>
      <c r="Z81" s="5"/>
    </row>
    <row r="82">
      <c r="A82" s="53"/>
      <c r="B82" s="53"/>
      <c r="C82" s="53"/>
      <c r="D82" s="54"/>
      <c r="E82" s="55"/>
      <c r="F82" s="56"/>
      <c r="G82" s="54"/>
      <c r="H82" s="54"/>
      <c r="I82" s="55"/>
      <c r="J82" s="5"/>
      <c r="K82" s="5"/>
      <c r="L82" s="5"/>
      <c r="M82" s="5"/>
      <c r="N82" s="5"/>
      <c r="O82" s="5"/>
      <c r="P82" s="5"/>
      <c r="Q82" s="5"/>
      <c r="R82" s="5"/>
      <c r="S82" s="5"/>
      <c r="T82" s="5"/>
      <c r="U82" s="5"/>
      <c r="V82" s="5"/>
      <c r="W82" s="5"/>
      <c r="X82" s="5"/>
      <c r="Y82" s="5"/>
      <c r="Z82" s="5"/>
    </row>
    <row r="83">
      <c r="A83" s="53"/>
      <c r="B83" s="53"/>
      <c r="C83" s="53"/>
      <c r="D83" s="54"/>
      <c r="E83" s="55"/>
      <c r="F83" s="56"/>
      <c r="G83" s="54"/>
      <c r="H83" s="54"/>
      <c r="I83" s="55"/>
      <c r="J83" s="5"/>
      <c r="K83" s="5"/>
      <c r="L83" s="5"/>
      <c r="M83" s="5"/>
      <c r="N83" s="5"/>
      <c r="O83" s="5"/>
      <c r="P83" s="5"/>
      <c r="Q83" s="5"/>
      <c r="R83" s="5"/>
      <c r="S83" s="5"/>
      <c r="T83" s="5"/>
      <c r="U83" s="5"/>
      <c r="V83" s="5"/>
      <c r="W83" s="5"/>
      <c r="X83" s="5"/>
      <c r="Y83" s="5"/>
      <c r="Z83" s="5"/>
    </row>
    <row r="84">
      <c r="A84" s="53"/>
      <c r="B84" s="53"/>
      <c r="C84" s="53"/>
      <c r="D84" s="54"/>
      <c r="E84" s="55"/>
      <c r="F84" s="56"/>
      <c r="G84" s="54"/>
      <c r="H84" s="54"/>
      <c r="I84" s="55"/>
      <c r="J84" s="5"/>
      <c r="K84" s="5"/>
      <c r="L84" s="5"/>
      <c r="M84" s="5"/>
      <c r="N84" s="5"/>
      <c r="O84" s="5"/>
      <c r="P84" s="5"/>
      <c r="Q84" s="5"/>
      <c r="R84" s="5"/>
      <c r="S84" s="5"/>
      <c r="T84" s="5"/>
      <c r="U84" s="5"/>
      <c r="V84" s="5"/>
      <c r="W84" s="5"/>
      <c r="X84" s="5"/>
      <c r="Y84" s="5"/>
      <c r="Z84" s="5"/>
    </row>
    <row r="85">
      <c r="A85" s="53"/>
      <c r="B85" s="53"/>
      <c r="C85" s="53"/>
      <c r="D85" s="54"/>
      <c r="E85" s="55"/>
      <c r="F85" s="56"/>
      <c r="G85" s="54"/>
      <c r="H85" s="54"/>
      <c r="I85" s="55"/>
      <c r="J85" s="5"/>
      <c r="K85" s="5"/>
      <c r="L85" s="5"/>
      <c r="M85" s="5"/>
      <c r="N85" s="5"/>
      <c r="O85" s="5"/>
      <c r="P85" s="5"/>
      <c r="Q85" s="5"/>
      <c r="R85" s="5"/>
      <c r="S85" s="5"/>
      <c r="T85" s="5"/>
      <c r="U85" s="5"/>
      <c r="V85" s="5"/>
      <c r="W85" s="5"/>
      <c r="X85" s="5"/>
      <c r="Y85" s="5"/>
      <c r="Z85" s="5"/>
    </row>
    <row r="86">
      <c r="A86" s="53"/>
      <c r="B86" s="53"/>
      <c r="C86" s="53"/>
      <c r="D86" s="54"/>
      <c r="E86" s="55"/>
      <c r="F86" s="56"/>
      <c r="G86" s="54"/>
      <c r="H86" s="54"/>
      <c r="I86" s="55"/>
      <c r="J86" s="5"/>
      <c r="K86" s="5"/>
      <c r="L86" s="5"/>
      <c r="M86" s="5"/>
      <c r="N86" s="5"/>
      <c r="O86" s="5"/>
      <c r="P86" s="5"/>
      <c r="Q86" s="5"/>
      <c r="R86" s="5"/>
      <c r="S86" s="5"/>
      <c r="T86" s="5"/>
      <c r="U86" s="5"/>
      <c r="V86" s="5"/>
      <c r="W86" s="5"/>
      <c r="X86" s="5"/>
      <c r="Y86" s="5"/>
      <c r="Z86" s="5"/>
    </row>
    <row r="87">
      <c r="A87" s="53"/>
      <c r="B87" s="53"/>
      <c r="C87" s="53"/>
      <c r="D87" s="54"/>
      <c r="E87" s="55"/>
      <c r="F87" s="56"/>
      <c r="G87" s="54"/>
      <c r="H87" s="54"/>
      <c r="I87" s="55"/>
      <c r="J87" s="5"/>
      <c r="K87" s="5"/>
      <c r="L87" s="5"/>
      <c r="M87" s="5"/>
      <c r="N87" s="5"/>
      <c r="O87" s="5"/>
      <c r="P87" s="5"/>
      <c r="Q87" s="5"/>
      <c r="R87" s="5"/>
      <c r="S87" s="5"/>
      <c r="T87" s="5"/>
      <c r="U87" s="5"/>
      <c r="V87" s="5"/>
      <c r="W87" s="5"/>
      <c r="X87" s="5"/>
      <c r="Y87" s="5"/>
      <c r="Z87" s="5"/>
    </row>
    <row r="88">
      <c r="A88" s="53"/>
      <c r="B88" s="53"/>
      <c r="C88" s="53"/>
      <c r="D88" s="54"/>
      <c r="E88" s="55"/>
      <c r="F88" s="56"/>
      <c r="G88" s="54"/>
      <c r="H88" s="54"/>
      <c r="I88" s="55"/>
      <c r="J88" s="5"/>
      <c r="K88" s="5"/>
      <c r="L88" s="5"/>
      <c r="M88" s="5"/>
      <c r="N88" s="5"/>
      <c r="O88" s="5"/>
      <c r="P88" s="5"/>
      <c r="Q88" s="5"/>
      <c r="R88" s="5"/>
      <c r="S88" s="5"/>
      <c r="T88" s="5"/>
      <c r="U88" s="5"/>
      <c r="V88" s="5"/>
      <c r="W88" s="5"/>
      <c r="X88" s="5"/>
      <c r="Y88" s="5"/>
      <c r="Z88" s="5"/>
    </row>
    <row r="89">
      <c r="A89" s="53"/>
      <c r="B89" s="53"/>
      <c r="C89" s="53"/>
      <c r="D89" s="54"/>
      <c r="E89" s="55"/>
      <c r="F89" s="56"/>
      <c r="G89" s="54"/>
      <c r="H89" s="54"/>
      <c r="I89" s="55"/>
      <c r="J89" s="5"/>
      <c r="K89" s="5"/>
      <c r="L89" s="5"/>
      <c r="M89" s="5"/>
      <c r="N89" s="5"/>
      <c r="O89" s="5"/>
      <c r="P89" s="5"/>
      <c r="Q89" s="5"/>
      <c r="R89" s="5"/>
      <c r="S89" s="5"/>
      <c r="T89" s="5"/>
      <c r="U89" s="5"/>
      <c r="V89" s="5"/>
      <c r="W89" s="5"/>
      <c r="X89" s="5"/>
      <c r="Y89" s="5"/>
      <c r="Z89" s="5"/>
    </row>
    <row r="90">
      <c r="A90" s="53"/>
      <c r="B90" s="53"/>
      <c r="C90" s="53"/>
      <c r="D90" s="54"/>
      <c r="E90" s="55"/>
      <c r="F90" s="56"/>
      <c r="G90" s="54"/>
      <c r="H90" s="54"/>
      <c r="I90" s="55"/>
      <c r="J90" s="5"/>
      <c r="K90" s="5"/>
      <c r="L90" s="5"/>
      <c r="M90" s="5"/>
      <c r="N90" s="5"/>
      <c r="O90" s="5"/>
      <c r="P90" s="5"/>
      <c r="Q90" s="5"/>
      <c r="R90" s="5"/>
      <c r="S90" s="5"/>
      <c r="T90" s="5"/>
      <c r="U90" s="5"/>
      <c r="V90" s="5"/>
      <c r="W90" s="5"/>
      <c r="X90" s="5"/>
      <c r="Y90" s="5"/>
      <c r="Z90" s="5"/>
    </row>
    <row r="91">
      <c r="A91" s="53"/>
      <c r="B91" s="53"/>
      <c r="C91" s="53"/>
      <c r="D91" s="54"/>
      <c r="E91" s="55"/>
      <c r="F91" s="56"/>
      <c r="G91" s="54"/>
      <c r="H91" s="54"/>
      <c r="I91" s="55"/>
      <c r="J91" s="5"/>
      <c r="K91" s="5"/>
      <c r="L91" s="5"/>
      <c r="M91" s="5"/>
      <c r="N91" s="5"/>
      <c r="O91" s="5"/>
      <c r="P91" s="5"/>
      <c r="Q91" s="5"/>
      <c r="R91" s="5"/>
      <c r="S91" s="5"/>
      <c r="T91" s="5"/>
      <c r="U91" s="5"/>
      <c r="V91" s="5"/>
      <c r="W91" s="5"/>
      <c r="X91" s="5"/>
      <c r="Y91" s="5"/>
      <c r="Z91" s="5"/>
    </row>
    <row r="92">
      <c r="A92" s="53"/>
      <c r="B92" s="53"/>
      <c r="C92" s="53"/>
      <c r="D92" s="54"/>
      <c r="E92" s="55"/>
      <c r="F92" s="56"/>
      <c r="G92" s="54"/>
      <c r="H92" s="54"/>
      <c r="I92" s="55"/>
      <c r="J92" s="5"/>
      <c r="K92" s="5"/>
      <c r="L92" s="5"/>
      <c r="M92" s="5"/>
      <c r="N92" s="5"/>
      <c r="O92" s="5"/>
      <c r="P92" s="5"/>
      <c r="Q92" s="5"/>
      <c r="R92" s="5"/>
      <c r="S92" s="5"/>
      <c r="T92" s="5"/>
      <c r="U92" s="5"/>
      <c r="V92" s="5"/>
      <c r="W92" s="5"/>
      <c r="X92" s="5"/>
      <c r="Y92" s="5"/>
      <c r="Z92" s="5"/>
    </row>
    <row r="93">
      <c r="A93" s="53"/>
      <c r="B93" s="53"/>
      <c r="C93" s="53"/>
      <c r="D93" s="54"/>
      <c r="E93" s="55"/>
      <c r="F93" s="56"/>
      <c r="G93" s="54"/>
      <c r="H93" s="54"/>
      <c r="I93" s="55"/>
      <c r="J93" s="5"/>
      <c r="K93" s="5"/>
      <c r="L93" s="5"/>
      <c r="M93" s="5"/>
      <c r="N93" s="5"/>
      <c r="O93" s="5"/>
      <c r="P93" s="5"/>
      <c r="Q93" s="5"/>
      <c r="R93" s="5"/>
      <c r="S93" s="5"/>
      <c r="T93" s="5"/>
      <c r="U93" s="5"/>
      <c r="V93" s="5"/>
      <c r="W93" s="5"/>
      <c r="X93" s="5"/>
      <c r="Y93" s="5"/>
      <c r="Z93" s="5"/>
    </row>
    <row r="94">
      <c r="A94" s="53"/>
      <c r="B94" s="53"/>
      <c r="C94" s="53"/>
      <c r="D94" s="54"/>
      <c r="E94" s="55"/>
      <c r="F94" s="56"/>
      <c r="G94" s="54"/>
      <c r="H94" s="54"/>
      <c r="I94" s="55"/>
      <c r="J94" s="5"/>
      <c r="K94" s="5"/>
      <c r="L94" s="5"/>
      <c r="M94" s="5"/>
      <c r="N94" s="5"/>
      <c r="O94" s="5"/>
      <c r="P94" s="5"/>
      <c r="Q94" s="5"/>
      <c r="R94" s="5"/>
      <c r="S94" s="5"/>
      <c r="T94" s="5"/>
      <c r="U94" s="5"/>
      <c r="V94" s="5"/>
      <c r="W94" s="5"/>
      <c r="X94" s="5"/>
      <c r="Y94" s="5"/>
      <c r="Z94" s="5"/>
    </row>
    <row r="95">
      <c r="A95" s="53"/>
      <c r="B95" s="53"/>
      <c r="C95" s="53"/>
      <c r="D95" s="54"/>
      <c r="E95" s="55"/>
      <c r="F95" s="56"/>
      <c r="G95" s="54"/>
      <c r="H95" s="54"/>
      <c r="I95" s="55"/>
      <c r="J95" s="5"/>
      <c r="K95" s="5"/>
      <c r="L95" s="5"/>
      <c r="M95" s="5"/>
      <c r="N95" s="5"/>
      <c r="O95" s="5"/>
      <c r="P95" s="5"/>
      <c r="Q95" s="5"/>
      <c r="R95" s="5"/>
      <c r="S95" s="5"/>
      <c r="T95" s="5"/>
      <c r="U95" s="5"/>
      <c r="V95" s="5"/>
      <c r="W95" s="5"/>
      <c r="X95" s="5"/>
      <c r="Y95" s="5"/>
      <c r="Z95" s="5"/>
    </row>
    <row r="96">
      <c r="A96" s="53"/>
      <c r="B96" s="53"/>
      <c r="C96" s="53"/>
      <c r="D96" s="54"/>
      <c r="E96" s="55"/>
      <c r="F96" s="56"/>
      <c r="G96" s="54"/>
      <c r="H96" s="54"/>
      <c r="I96" s="55"/>
      <c r="J96" s="5"/>
      <c r="K96" s="5"/>
      <c r="L96" s="5"/>
      <c r="M96" s="5"/>
      <c r="N96" s="5"/>
      <c r="O96" s="5"/>
      <c r="P96" s="5"/>
      <c r="Q96" s="5"/>
      <c r="R96" s="5"/>
      <c r="S96" s="5"/>
      <c r="T96" s="5"/>
      <c r="U96" s="5"/>
      <c r="V96" s="5"/>
      <c r="W96" s="5"/>
      <c r="X96" s="5"/>
      <c r="Y96" s="5"/>
      <c r="Z96" s="5"/>
    </row>
    <row r="97">
      <c r="A97" s="53"/>
      <c r="B97" s="53"/>
      <c r="C97" s="53"/>
      <c r="D97" s="54"/>
      <c r="E97" s="55"/>
      <c r="F97" s="56"/>
      <c r="G97" s="54"/>
      <c r="H97" s="54"/>
      <c r="I97" s="55"/>
      <c r="J97" s="5"/>
      <c r="K97" s="5"/>
      <c r="L97" s="5"/>
      <c r="M97" s="5"/>
      <c r="N97" s="5"/>
      <c r="O97" s="5"/>
      <c r="P97" s="5"/>
      <c r="Q97" s="5"/>
      <c r="R97" s="5"/>
      <c r="S97" s="5"/>
      <c r="T97" s="5"/>
      <c r="U97" s="5"/>
      <c r="V97" s="5"/>
      <c r="W97" s="5"/>
      <c r="X97" s="5"/>
      <c r="Y97" s="5"/>
      <c r="Z97" s="5"/>
    </row>
    <row r="98">
      <c r="A98" s="53"/>
      <c r="B98" s="53"/>
      <c r="C98" s="53"/>
      <c r="D98" s="54"/>
      <c r="E98" s="55"/>
      <c r="F98" s="56"/>
      <c r="G98" s="54"/>
      <c r="H98" s="54"/>
      <c r="I98" s="55"/>
      <c r="J98" s="5"/>
      <c r="K98" s="5"/>
      <c r="L98" s="5"/>
      <c r="M98" s="5"/>
      <c r="N98" s="5"/>
      <c r="O98" s="5"/>
      <c r="P98" s="5"/>
      <c r="Q98" s="5"/>
      <c r="R98" s="5"/>
      <c r="S98" s="5"/>
      <c r="T98" s="5"/>
      <c r="U98" s="5"/>
      <c r="V98" s="5"/>
      <c r="W98" s="5"/>
      <c r="X98" s="5"/>
      <c r="Y98" s="5"/>
      <c r="Z98" s="5"/>
    </row>
    <row r="99">
      <c r="A99" s="53"/>
      <c r="B99" s="53"/>
      <c r="C99" s="53"/>
      <c r="D99" s="54"/>
      <c r="E99" s="55"/>
      <c r="F99" s="56"/>
      <c r="G99" s="54"/>
      <c r="H99" s="54"/>
      <c r="I99" s="55"/>
      <c r="J99" s="5"/>
      <c r="K99" s="5"/>
      <c r="L99" s="5"/>
      <c r="M99" s="5"/>
      <c r="N99" s="5"/>
      <c r="O99" s="5"/>
      <c r="P99" s="5"/>
      <c r="Q99" s="5"/>
      <c r="R99" s="5"/>
      <c r="S99" s="5"/>
      <c r="T99" s="5"/>
      <c r="U99" s="5"/>
      <c r="V99" s="5"/>
      <c r="W99" s="5"/>
      <c r="X99" s="5"/>
      <c r="Y99" s="5"/>
      <c r="Z99" s="5"/>
    </row>
    <row r="100">
      <c r="A100" s="53"/>
      <c r="B100" s="53"/>
      <c r="C100" s="53"/>
      <c r="D100" s="54"/>
      <c r="E100" s="55"/>
      <c r="F100" s="56"/>
      <c r="G100" s="54"/>
      <c r="H100" s="54"/>
      <c r="I100" s="55"/>
      <c r="J100" s="5"/>
      <c r="K100" s="5"/>
      <c r="L100" s="5"/>
      <c r="M100" s="5"/>
      <c r="N100" s="5"/>
      <c r="O100" s="5"/>
      <c r="P100" s="5"/>
      <c r="Q100" s="5"/>
      <c r="R100" s="5"/>
      <c r="S100" s="5"/>
      <c r="T100" s="5"/>
      <c r="U100" s="5"/>
      <c r="V100" s="5"/>
      <c r="W100" s="5"/>
      <c r="X100" s="5"/>
      <c r="Y100" s="5"/>
      <c r="Z100" s="5"/>
    </row>
  </sheetData>
  <conditionalFormatting sqref="I11:I1000">
    <cfRule type="cellIs" dxfId="5" priority="1" stopIfTrue="1" operator="equal">
      <formula>"Active"</formula>
    </cfRule>
  </conditionalFormatting>
  <conditionalFormatting sqref="I11:I1000">
    <cfRule type="cellIs" dxfId="6" priority="2" stopIfTrue="1" operator="equal">
      <formula>"Deal Excluded"</formula>
    </cfRule>
  </conditionalFormatting>
  <conditionalFormatting sqref="I11:I1000">
    <cfRule type="cellIs" dxfId="7" priority="3" stopIfTrue="1" operator="equal">
      <formula>"Unavailable"</formula>
    </cfRule>
  </conditionalFormatting>
  <conditionalFormatting sqref="I11:I1000">
    <cfRule type="cellIs" dxfId="8" priority="4" stopIfTrue="1" operator="equal">
      <formula>"Campaign Expired"</formula>
    </cfRule>
  </conditionalFormatting>
  <conditionalFormatting sqref="I11:I1000">
    <cfRule type="cellIs" dxfId="9" priority="5" stopIfTrue="1" operator="equal">
      <formula>"Campaign Disabled"</formula>
    </cfRule>
  </conditionalFormatting>
  <conditionalFormatting sqref="I11:I1000">
    <cfRule type="cellIs" dxfId="10" priority="6" stopIfTrue="1" operator="equal">
      <formula>"Campaign Not Started"</formula>
    </cfRule>
  </conditionalFormatting>
  <conditionalFormatting sqref="I11:I1000">
    <cfRule type="cellIs" dxfId="11" priority="7" stopIfTrue="1" operator="equal">
      <formula>"Below Min Price"</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0"/>
    <col customWidth="1" min="2" max="2" width="18.88"/>
    <col customWidth="1" min="3" max="4" width="16.38"/>
    <col customWidth="1" min="5" max="5" width="23.88"/>
    <col customWidth="1" min="6" max="6" width="16.38"/>
    <col customWidth="1" min="7" max="7" width="30.13"/>
    <col customWidth="1" min="8" max="10" width="12.0"/>
    <col customWidth="1" min="11" max="11" width="19.5"/>
    <col customWidth="1" min="12" max="12" width="15.13"/>
    <col customWidth="1" min="13" max="13" width="18.25"/>
    <col customWidth="1" min="14" max="14" width="37.13"/>
    <col customWidth="1" min="15" max="15" width="15.25"/>
    <col customWidth="1" min="16" max="16" width="13.88"/>
    <col customWidth="1" min="17" max="17" width="22.13"/>
    <col customWidth="1" min="18" max="18" width="22.88"/>
  </cols>
  <sheetData>
    <row r="1" ht="28.5" customHeight="1">
      <c r="A1" s="6" t="s">
        <v>7</v>
      </c>
      <c r="B1" s="6" t="s">
        <v>29</v>
      </c>
      <c r="C1" s="6" t="s">
        <v>34</v>
      </c>
      <c r="D1" s="6" t="s">
        <v>37</v>
      </c>
      <c r="E1" s="6" t="s">
        <v>41</v>
      </c>
      <c r="F1" s="6" t="s">
        <v>43</v>
      </c>
      <c r="G1" s="6" t="s">
        <v>48</v>
      </c>
      <c r="H1" s="6" t="s">
        <v>52</v>
      </c>
      <c r="I1" s="6" t="s">
        <v>54</v>
      </c>
      <c r="J1" s="6" t="s">
        <v>58</v>
      </c>
      <c r="K1" s="6" t="s">
        <v>61</v>
      </c>
      <c r="L1" s="6" t="s">
        <v>65</v>
      </c>
      <c r="M1" s="6" t="s">
        <v>68</v>
      </c>
      <c r="N1" s="6" t="s">
        <v>69</v>
      </c>
      <c r="O1" s="10" t="s">
        <v>70</v>
      </c>
      <c r="P1" s="10" t="s">
        <v>72</v>
      </c>
      <c r="Q1" s="10" t="s">
        <v>73</v>
      </c>
      <c r="R1" s="10" t="s">
        <v>74</v>
      </c>
    </row>
    <row r="2">
      <c r="A2" s="12" t="s">
        <v>75</v>
      </c>
      <c r="B2" s="14">
        <v>46297.833333333336</v>
      </c>
      <c r="C2" s="12" t="s">
        <v>77</v>
      </c>
      <c r="D2" s="12">
        <v>3.495696659E9</v>
      </c>
      <c r="E2" s="12" t="s">
        <v>78</v>
      </c>
      <c r="F2" s="12" t="s">
        <v>78</v>
      </c>
      <c r="G2" s="12" t="s">
        <v>79</v>
      </c>
      <c r="H2" s="12">
        <v>998.0</v>
      </c>
      <c r="I2" s="12">
        <v>0.0</v>
      </c>
      <c r="J2" s="12">
        <v>998.0</v>
      </c>
      <c r="K2" s="12" t="s">
        <v>81</v>
      </c>
      <c r="L2" s="12" t="s">
        <v>82</v>
      </c>
      <c r="M2" s="12" t="s">
        <v>83</v>
      </c>
      <c r="N2" s="12" t="s">
        <v>84</v>
      </c>
      <c r="O2" s="15"/>
      <c r="P2" s="15"/>
      <c r="Q2" s="15"/>
      <c r="R2" s="15"/>
    </row>
    <row r="3">
      <c r="A3" s="12" t="s">
        <v>87</v>
      </c>
      <c r="B3" s="14">
        <v>46298.036203703705</v>
      </c>
      <c r="C3" s="12" t="s">
        <v>88</v>
      </c>
      <c r="D3" s="12">
        <v>3.278497923E9</v>
      </c>
      <c r="E3" s="12" t="s">
        <v>89</v>
      </c>
      <c r="F3" s="12" t="s">
        <v>90</v>
      </c>
      <c r="G3" s="12" t="s">
        <v>91</v>
      </c>
      <c r="H3" s="12">
        <v>2499.0</v>
      </c>
      <c r="I3" s="12">
        <v>0.0</v>
      </c>
      <c r="J3" s="12">
        <v>2499.0</v>
      </c>
      <c r="K3" s="12" t="s">
        <v>81</v>
      </c>
      <c r="L3" s="12" t="s">
        <v>82</v>
      </c>
      <c r="M3" s="12" t="s">
        <v>93</v>
      </c>
      <c r="O3" s="15"/>
      <c r="P3" s="15"/>
      <c r="Q3" s="15"/>
      <c r="R3" s="15"/>
    </row>
    <row r="4">
      <c r="A4" s="12" t="s">
        <v>94</v>
      </c>
      <c r="B4" s="14">
        <v>46298.062106481484</v>
      </c>
      <c r="C4" s="12" t="s">
        <v>88</v>
      </c>
      <c r="D4" s="12">
        <v>3.495696659E9</v>
      </c>
      <c r="E4" s="12" t="s">
        <v>95</v>
      </c>
      <c r="F4" s="12" t="s">
        <v>96</v>
      </c>
      <c r="G4" s="12" t="s">
        <v>97</v>
      </c>
      <c r="H4" s="12">
        <v>499.0</v>
      </c>
      <c r="I4" s="12">
        <v>0.0</v>
      </c>
      <c r="J4" s="12">
        <v>499.0</v>
      </c>
      <c r="K4" s="12" t="s">
        <v>98</v>
      </c>
      <c r="L4" s="12" t="s">
        <v>82</v>
      </c>
      <c r="M4" s="12" t="s">
        <v>93</v>
      </c>
      <c r="N4" s="12" t="s">
        <v>99</v>
      </c>
      <c r="O4" s="15"/>
      <c r="P4" s="15"/>
      <c r="Q4" s="15"/>
      <c r="R4" s="15"/>
    </row>
    <row r="5">
      <c r="A5" s="12" t="s">
        <v>100</v>
      </c>
      <c r="B5" s="14">
        <v>46298.08976851852</v>
      </c>
      <c r="C5" s="12" t="s">
        <v>101</v>
      </c>
      <c r="D5" s="12" t="s">
        <v>101</v>
      </c>
      <c r="E5" s="12" t="s">
        <v>101</v>
      </c>
      <c r="F5" s="12" t="s">
        <v>101</v>
      </c>
      <c r="G5" s="12" t="s">
        <v>101</v>
      </c>
      <c r="H5" s="12">
        <v>0.0</v>
      </c>
      <c r="I5" s="12">
        <v>0.0</v>
      </c>
      <c r="J5" s="12">
        <v>0.0</v>
      </c>
      <c r="K5" s="12" t="s">
        <v>101</v>
      </c>
      <c r="L5" s="12" t="s">
        <v>82</v>
      </c>
      <c r="M5" s="12" t="s">
        <v>82</v>
      </c>
      <c r="N5" s="12" t="s">
        <v>101</v>
      </c>
      <c r="O5" s="15"/>
      <c r="P5" s="15"/>
      <c r="Q5" s="15"/>
      <c r="R5" s="15"/>
    </row>
    <row r="6">
      <c r="A6" s="12" t="s">
        <v>102</v>
      </c>
      <c r="B6" s="14">
        <v>46300.975636574076</v>
      </c>
      <c r="C6" s="12" t="s">
        <v>103</v>
      </c>
      <c r="D6" s="12">
        <v>3.278497923E9</v>
      </c>
      <c r="E6" s="12" t="s">
        <v>104</v>
      </c>
      <c r="F6" s="12" t="s">
        <v>105</v>
      </c>
      <c r="G6" s="12" t="s">
        <v>106</v>
      </c>
      <c r="H6" s="12">
        <v>270.0</v>
      </c>
      <c r="I6" s="12">
        <v>0.0</v>
      </c>
      <c r="J6" s="12">
        <v>270.0</v>
      </c>
      <c r="K6" s="12" t="s">
        <v>81</v>
      </c>
      <c r="L6" s="12" t="s">
        <v>82</v>
      </c>
      <c r="M6" s="12" t="s">
        <v>93</v>
      </c>
    </row>
    <row r="7">
      <c r="A7" s="12" t="s">
        <v>109</v>
      </c>
      <c r="B7" s="14">
        <v>46300.989166666666</v>
      </c>
      <c r="C7" s="12" t="s">
        <v>110</v>
      </c>
      <c r="D7" s="12">
        <v>3.495696659E9</v>
      </c>
      <c r="E7" s="12" t="s">
        <v>104</v>
      </c>
      <c r="F7" s="12" t="s">
        <v>105</v>
      </c>
      <c r="G7" s="12" t="s">
        <v>113</v>
      </c>
      <c r="H7" s="12">
        <v>699.0</v>
      </c>
      <c r="I7" s="12">
        <v>0.0</v>
      </c>
      <c r="J7" s="12">
        <v>699.0</v>
      </c>
      <c r="K7" s="12" t="s">
        <v>81</v>
      </c>
      <c r="L7" s="12" t="s">
        <v>82</v>
      </c>
      <c r="M7" s="12" t="s">
        <v>93</v>
      </c>
    </row>
    <row r="8">
      <c r="A8" s="12" t="s">
        <v>117</v>
      </c>
      <c r="B8" s="14">
        <v>46300.989641203705</v>
      </c>
      <c r="C8" s="12" t="s">
        <v>110</v>
      </c>
      <c r="D8" s="12">
        <v>3.495696659E9</v>
      </c>
      <c r="E8" s="12" t="s">
        <v>104</v>
      </c>
      <c r="F8" s="12" t="s">
        <v>105</v>
      </c>
      <c r="G8" s="12" t="s">
        <v>113</v>
      </c>
      <c r="H8" s="12">
        <v>699.0</v>
      </c>
      <c r="I8" s="12">
        <v>0.0</v>
      </c>
      <c r="J8" s="12">
        <v>699.0</v>
      </c>
      <c r="K8" s="12" t="s">
        <v>81</v>
      </c>
      <c r="L8" s="12" t="s">
        <v>82</v>
      </c>
      <c r="M8" s="12" t="s">
        <v>93</v>
      </c>
    </row>
    <row r="9">
      <c r="A9" s="12" t="s">
        <v>125</v>
      </c>
      <c r="B9" s="14">
        <v>46301.00178240741</v>
      </c>
    </row>
    <row r="10">
      <c r="A10" s="12" t="s">
        <v>127</v>
      </c>
      <c r="B10" s="14">
        <v>46301.01627314815</v>
      </c>
      <c r="C10" s="12" t="s">
        <v>128</v>
      </c>
      <c r="D10" s="12">
        <v>3.495696659E9</v>
      </c>
      <c r="E10" s="12" t="s">
        <v>78</v>
      </c>
      <c r="F10" s="12" t="s">
        <v>105</v>
      </c>
      <c r="G10" s="12" t="s">
        <v>129</v>
      </c>
      <c r="H10" s="12">
        <v>2499.0</v>
      </c>
      <c r="I10" s="12">
        <v>0.0</v>
      </c>
      <c r="J10" s="12">
        <v>2499.0</v>
      </c>
      <c r="K10" s="12" t="s">
        <v>132</v>
      </c>
      <c r="L10" s="12" t="s">
        <v>82</v>
      </c>
      <c r="M10" s="12" t="s">
        <v>133</v>
      </c>
      <c r="N10" s="12" t="s">
        <v>134</v>
      </c>
      <c r="O10" s="28"/>
      <c r="P10" s="28"/>
      <c r="Q10" s="28"/>
      <c r="R10" s="28"/>
    </row>
    <row r="11">
      <c r="A11" s="12" t="s">
        <v>136</v>
      </c>
      <c r="B11" s="14">
        <v>46301.02296296296</v>
      </c>
      <c r="C11" s="12" t="s">
        <v>128</v>
      </c>
      <c r="D11" s="12">
        <v>3.495696659E9</v>
      </c>
      <c r="E11" s="12" t="s">
        <v>105</v>
      </c>
      <c r="F11" s="12" t="s">
        <v>105</v>
      </c>
      <c r="G11" s="12" t="s">
        <v>138</v>
      </c>
      <c r="H11" s="12">
        <v>2499.0</v>
      </c>
      <c r="I11" s="12">
        <v>0.0</v>
      </c>
      <c r="J11" s="12">
        <v>2499.0</v>
      </c>
      <c r="K11" s="12" t="s">
        <v>81</v>
      </c>
      <c r="L11" s="12" t="s">
        <v>82</v>
      </c>
      <c r="M11" s="12" t="s">
        <v>133</v>
      </c>
      <c r="N11" s="12" t="s">
        <v>134</v>
      </c>
      <c r="O11" s="28"/>
      <c r="P11" s="28"/>
      <c r="Q11" s="28"/>
      <c r="R11" s="28"/>
    </row>
    <row r="12">
      <c r="A12" s="12" t="s">
        <v>142</v>
      </c>
      <c r="B12" s="14">
        <v>46301.02991898148</v>
      </c>
      <c r="C12" s="12" t="s">
        <v>144</v>
      </c>
      <c r="D12" s="12">
        <v>3.278497923E9</v>
      </c>
      <c r="E12" s="12" t="s">
        <v>145</v>
      </c>
      <c r="F12" s="12" t="s">
        <v>105</v>
      </c>
      <c r="G12" s="12" t="s">
        <v>79</v>
      </c>
      <c r="H12" s="12">
        <v>998.0</v>
      </c>
      <c r="I12" s="12">
        <v>0.0</v>
      </c>
      <c r="J12" s="12">
        <v>998.0</v>
      </c>
      <c r="K12" s="12" t="s">
        <v>81</v>
      </c>
      <c r="L12" s="12" t="s">
        <v>82</v>
      </c>
      <c r="M12" s="12" t="s">
        <v>93</v>
      </c>
    </row>
    <row r="13">
      <c r="A13" s="12" t="s">
        <v>146</v>
      </c>
      <c r="B13" s="14">
        <v>46301.034479166665</v>
      </c>
      <c r="C13" s="12" t="s">
        <v>128</v>
      </c>
      <c r="D13" s="12">
        <v>3.44747773E8</v>
      </c>
      <c r="E13" s="12" t="s">
        <v>145</v>
      </c>
      <c r="F13" s="12" t="s">
        <v>105</v>
      </c>
      <c r="G13" s="12" t="s">
        <v>97</v>
      </c>
      <c r="H13" s="12">
        <v>499.0</v>
      </c>
      <c r="I13" s="12">
        <v>0.0</v>
      </c>
      <c r="J13" s="12">
        <v>499.0</v>
      </c>
      <c r="K13" s="12" t="s">
        <v>81</v>
      </c>
      <c r="L13" s="12" t="s">
        <v>82</v>
      </c>
      <c r="M13" s="12" t="s">
        <v>93</v>
      </c>
    </row>
    <row r="14">
      <c r="A14" s="12" t="s">
        <v>149</v>
      </c>
      <c r="B14" s="14">
        <v>46301.05116898148</v>
      </c>
      <c r="C14" s="12" t="s">
        <v>150</v>
      </c>
      <c r="D14" s="12">
        <v>3.4945454E7</v>
      </c>
      <c r="E14" s="12" t="s">
        <v>145</v>
      </c>
      <c r="F14" s="12" t="s">
        <v>105</v>
      </c>
      <c r="G14" s="12" t="s">
        <v>151</v>
      </c>
      <c r="H14" s="29">
        <v>120.0</v>
      </c>
      <c r="I14" s="29">
        <v>0.0</v>
      </c>
      <c r="J14" s="29">
        <v>120.0</v>
      </c>
      <c r="K14" s="12" t="s">
        <v>81</v>
      </c>
      <c r="L14" s="12" t="s">
        <v>82</v>
      </c>
      <c r="M14" s="12" t="s">
        <v>93</v>
      </c>
    </row>
    <row r="15">
      <c r="A15" s="12" t="s">
        <v>152</v>
      </c>
      <c r="B15" s="14">
        <v>46301.05428240741</v>
      </c>
      <c r="C15" s="12" t="s">
        <v>153</v>
      </c>
      <c r="D15" s="12">
        <v>3.495696659E9</v>
      </c>
      <c r="E15" s="12" t="s">
        <v>78</v>
      </c>
      <c r="F15" s="12" t="s">
        <v>105</v>
      </c>
      <c r="G15" s="12" t="s">
        <v>129</v>
      </c>
      <c r="H15" s="29">
        <v>2499.0</v>
      </c>
      <c r="I15" s="29">
        <v>0.0</v>
      </c>
      <c r="J15" s="29">
        <v>2499.0</v>
      </c>
      <c r="K15" s="12" t="s">
        <v>81</v>
      </c>
      <c r="L15" s="12" t="s">
        <v>82</v>
      </c>
      <c r="M15" s="12" t="s">
        <v>133</v>
      </c>
      <c r="N15" s="12" t="s">
        <v>134</v>
      </c>
      <c r="O15" s="28"/>
      <c r="P15" s="28"/>
      <c r="Q15" s="28"/>
      <c r="R15" s="28"/>
    </row>
    <row r="16">
      <c r="A16" s="12" t="s">
        <v>156</v>
      </c>
      <c r="B16" s="14">
        <v>46301.07581018518</v>
      </c>
      <c r="C16" s="12" t="s">
        <v>157</v>
      </c>
      <c r="D16" s="12">
        <v>3.46567665E8</v>
      </c>
      <c r="E16" s="12" t="s">
        <v>105</v>
      </c>
      <c r="F16" s="12" t="s">
        <v>105</v>
      </c>
      <c r="G16" s="12" t="s">
        <v>158</v>
      </c>
      <c r="H16" s="29">
        <v>699.0</v>
      </c>
      <c r="I16" s="29">
        <v>0.0</v>
      </c>
      <c r="J16" s="29">
        <v>699.0</v>
      </c>
      <c r="K16" s="12" t="s">
        <v>81</v>
      </c>
      <c r="L16" s="12" t="s">
        <v>82</v>
      </c>
      <c r="M16" s="12" t="s">
        <v>93</v>
      </c>
    </row>
    <row r="17">
      <c r="A17" s="12" t="s">
        <v>161</v>
      </c>
      <c r="B17" s="14">
        <v>46301.098391203705</v>
      </c>
      <c r="C17" s="12" t="s">
        <v>162</v>
      </c>
      <c r="D17" s="12">
        <v>3.49474747E8</v>
      </c>
      <c r="E17" s="12" t="s">
        <v>105</v>
      </c>
      <c r="F17" s="12" t="s">
        <v>105</v>
      </c>
      <c r="G17" s="12" t="s">
        <v>163</v>
      </c>
      <c r="H17" s="29">
        <v>2569.0</v>
      </c>
      <c r="I17" s="29">
        <v>0.0</v>
      </c>
      <c r="J17" s="29">
        <v>2569.0</v>
      </c>
      <c r="K17" s="12" t="s">
        <v>81</v>
      </c>
      <c r="L17" s="12" t="s">
        <v>82</v>
      </c>
      <c r="M17" s="12" t="s">
        <v>93</v>
      </c>
      <c r="N17" s="12" t="s">
        <v>167</v>
      </c>
    </row>
    <row r="18">
      <c r="A18" s="12" t="s">
        <v>169</v>
      </c>
      <c r="B18" s="14">
        <v>46301.102997685186</v>
      </c>
      <c r="C18" s="12" t="s">
        <v>170</v>
      </c>
      <c r="D18" s="12">
        <v>3.446784891E9</v>
      </c>
      <c r="E18" s="12" t="s">
        <v>171</v>
      </c>
      <c r="F18" s="12" t="s">
        <v>172</v>
      </c>
      <c r="G18" s="12" t="s">
        <v>173</v>
      </c>
      <c r="H18" s="29">
        <v>1069.0</v>
      </c>
      <c r="I18" s="29">
        <v>0.0</v>
      </c>
      <c r="J18" s="29">
        <v>1069.0</v>
      </c>
      <c r="K18" s="12" t="s">
        <v>98</v>
      </c>
      <c r="L18" s="12" t="s">
        <v>82</v>
      </c>
      <c r="M18" s="12" t="s">
        <v>133</v>
      </c>
      <c r="N18" s="12" t="s">
        <v>134</v>
      </c>
      <c r="O18" s="28"/>
      <c r="P18" s="28"/>
      <c r="Q18" s="28"/>
      <c r="R18" s="28"/>
    </row>
    <row r="19">
      <c r="A19" s="12" t="s">
        <v>174</v>
      </c>
      <c r="B19" s="14">
        <v>46301.11079861111</v>
      </c>
      <c r="C19" s="12" t="s">
        <v>176</v>
      </c>
      <c r="D19" s="12">
        <v>3.0E9</v>
      </c>
      <c r="E19" s="12" t="s">
        <v>178</v>
      </c>
      <c r="F19" s="12" t="s">
        <v>178</v>
      </c>
      <c r="G19" s="12" t="s">
        <v>179</v>
      </c>
      <c r="H19" s="29">
        <v>2998.0</v>
      </c>
      <c r="I19" s="29">
        <v>0.0</v>
      </c>
      <c r="J19" s="29">
        <v>2998.0</v>
      </c>
      <c r="K19" s="12" t="s">
        <v>132</v>
      </c>
      <c r="L19" s="12" t="s">
        <v>82</v>
      </c>
      <c r="M19" s="12" t="s">
        <v>93</v>
      </c>
    </row>
    <row r="20">
      <c r="A20" s="12" t="s">
        <v>180</v>
      </c>
      <c r="B20" s="14">
        <v>46301.766076388885</v>
      </c>
      <c r="C20" s="12" t="s">
        <v>181</v>
      </c>
      <c r="D20" s="12">
        <v>3.4132242458E10</v>
      </c>
      <c r="E20" s="12" t="s">
        <v>182</v>
      </c>
      <c r="F20" s="12" t="s">
        <v>182</v>
      </c>
      <c r="G20" s="12" t="s">
        <v>183</v>
      </c>
      <c r="H20" s="29">
        <v>1599.0</v>
      </c>
      <c r="I20" s="29">
        <v>0.0</v>
      </c>
      <c r="J20" s="29">
        <v>1599.0</v>
      </c>
      <c r="K20" s="12" t="s">
        <v>81</v>
      </c>
      <c r="L20" s="12" t="s">
        <v>82</v>
      </c>
      <c r="M20" s="12" t="s">
        <v>93</v>
      </c>
    </row>
    <row r="21">
      <c r="A21" s="12" t="s">
        <v>184</v>
      </c>
      <c r="B21" s="14">
        <v>46301.78974537037</v>
      </c>
      <c r="C21" s="12" t="s">
        <v>162</v>
      </c>
      <c r="D21" s="12">
        <v>3.134545455E9</v>
      </c>
      <c r="E21" s="12" t="s">
        <v>187</v>
      </c>
      <c r="F21" s="12" t="s">
        <v>187</v>
      </c>
      <c r="G21" s="12" t="s">
        <v>188</v>
      </c>
      <c r="H21" s="29">
        <v>500.0</v>
      </c>
      <c r="I21" s="29">
        <v>0.0</v>
      </c>
      <c r="J21" s="29">
        <v>500.0</v>
      </c>
      <c r="K21" s="12" t="s">
        <v>81</v>
      </c>
      <c r="L21" s="12" t="s">
        <v>82</v>
      </c>
      <c r="M21" s="12" t="s">
        <v>93</v>
      </c>
    </row>
    <row r="22">
      <c r="A22" s="12" t="s">
        <v>189</v>
      </c>
      <c r="B22" s="14">
        <v>46301.82309027778</v>
      </c>
      <c r="C22" s="12" t="s">
        <v>128</v>
      </c>
      <c r="D22" s="12">
        <v>3.49778878E8</v>
      </c>
      <c r="E22" s="12" t="s">
        <v>105</v>
      </c>
      <c r="F22" s="12" t="s">
        <v>105</v>
      </c>
      <c r="G22" s="12" t="s">
        <v>190</v>
      </c>
      <c r="H22" s="29">
        <v>110.0</v>
      </c>
      <c r="I22" s="29">
        <v>0.0</v>
      </c>
      <c r="J22" s="29">
        <v>110.0</v>
      </c>
      <c r="K22" s="12" t="s">
        <v>81</v>
      </c>
      <c r="L22" s="12" t="s">
        <v>82</v>
      </c>
      <c r="M22" s="12" t="s">
        <v>133</v>
      </c>
      <c r="N22" s="12" t="s">
        <v>134</v>
      </c>
      <c r="O22" s="28"/>
      <c r="P22" s="28"/>
      <c r="Q22" s="28"/>
      <c r="R22" s="28"/>
    </row>
    <row r="23">
      <c r="A23" s="12" t="s">
        <v>192</v>
      </c>
      <c r="B23" s="14">
        <v>46301.85822916667</v>
      </c>
      <c r="C23" s="12" t="s">
        <v>77</v>
      </c>
      <c r="E23" s="12" t="s">
        <v>172</v>
      </c>
      <c r="F23" s="12" t="s">
        <v>172</v>
      </c>
      <c r="G23" s="12" t="s">
        <v>194</v>
      </c>
      <c r="H23" s="29">
        <v>240.0</v>
      </c>
      <c r="I23" s="29">
        <v>0.0</v>
      </c>
      <c r="J23" s="29">
        <v>240.0</v>
      </c>
      <c r="K23" s="12" t="s">
        <v>81</v>
      </c>
      <c r="L23" s="12" t="s">
        <v>82</v>
      </c>
      <c r="M23" s="12" t="s">
        <v>93</v>
      </c>
    </row>
    <row r="24">
      <c r="A24" s="12" t="s">
        <v>195</v>
      </c>
      <c r="B24" s="14">
        <v>46301.86525462963</v>
      </c>
      <c r="C24" s="12" t="s">
        <v>196</v>
      </c>
      <c r="D24" s="12">
        <v>9.23278497923E11</v>
      </c>
      <c r="E24" s="12" t="s">
        <v>197</v>
      </c>
      <c r="F24" s="12" t="s">
        <v>197</v>
      </c>
      <c r="G24" s="12" t="s">
        <v>198</v>
      </c>
      <c r="H24" s="29">
        <v>599.0</v>
      </c>
      <c r="I24" s="29">
        <v>0.0</v>
      </c>
      <c r="J24" s="29">
        <v>599.0</v>
      </c>
      <c r="K24" s="12" t="s">
        <v>81</v>
      </c>
      <c r="L24" s="12" t="s">
        <v>82</v>
      </c>
      <c r="M24" s="12" t="s">
        <v>133</v>
      </c>
      <c r="N24" s="12" t="s">
        <v>134</v>
      </c>
      <c r="O24" s="28"/>
      <c r="P24" s="28"/>
      <c r="Q24" s="28"/>
      <c r="R24" s="28"/>
    </row>
    <row r="25">
      <c r="A25" s="12" t="s">
        <v>201</v>
      </c>
      <c r="B25" s="14">
        <v>46301.884421296294</v>
      </c>
      <c r="C25" s="12" t="s">
        <v>202</v>
      </c>
      <c r="D25" s="12">
        <v>9.23278497923E11</v>
      </c>
      <c r="E25" s="12" t="s">
        <v>105</v>
      </c>
      <c r="F25" s="12" t="s">
        <v>105</v>
      </c>
      <c r="G25" s="12" t="s">
        <v>203</v>
      </c>
      <c r="H25" s="29">
        <v>2799.0</v>
      </c>
      <c r="I25" s="29">
        <v>0.0</v>
      </c>
      <c r="J25" s="29">
        <v>2799.0</v>
      </c>
      <c r="K25" s="12" t="s">
        <v>81</v>
      </c>
      <c r="L25" s="12" t="s">
        <v>82</v>
      </c>
      <c r="M25" s="12" t="s">
        <v>133</v>
      </c>
      <c r="N25" s="12" t="s">
        <v>134</v>
      </c>
      <c r="O25" s="28"/>
      <c r="P25" s="28"/>
      <c r="Q25" s="28"/>
      <c r="R25" s="28"/>
    </row>
    <row r="26">
      <c r="A26" s="12" t="s">
        <v>204</v>
      </c>
      <c r="B26" s="14">
        <v>46301.887094907404</v>
      </c>
      <c r="C26" s="12" t="s">
        <v>88</v>
      </c>
      <c r="D26" s="12">
        <v>9.23278497923E11</v>
      </c>
      <c r="E26" s="12" t="s">
        <v>209</v>
      </c>
      <c r="F26" s="12" t="s">
        <v>210</v>
      </c>
      <c r="G26" s="12" t="s">
        <v>212</v>
      </c>
      <c r="H26" s="29">
        <v>1959.3</v>
      </c>
      <c r="I26" s="29">
        <v>0.0</v>
      </c>
      <c r="J26" s="29">
        <v>1959.3</v>
      </c>
      <c r="K26" s="12" t="s">
        <v>81</v>
      </c>
      <c r="L26" s="12" t="s">
        <v>82</v>
      </c>
      <c r="M26" s="12" t="s">
        <v>93</v>
      </c>
      <c r="N26" s="12" t="s">
        <v>216</v>
      </c>
    </row>
    <row r="27">
      <c r="A27" s="12" t="s">
        <v>217</v>
      </c>
      <c r="B27" s="14">
        <v>46301.914375</v>
      </c>
      <c r="C27" s="12" t="s">
        <v>110</v>
      </c>
      <c r="D27" s="12">
        <v>9.23278497923E11</v>
      </c>
      <c r="E27" s="12" t="s">
        <v>209</v>
      </c>
      <c r="F27" s="12" t="s">
        <v>209</v>
      </c>
      <c r="G27" s="12" t="s">
        <v>221</v>
      </c>
      <c r="H27" s="29">
        <v>979.3</v>
      </c>
      <c r="I27" s="29">
        <v>0.0</v>
      </c>
      <c r="J27" s="29">
        <v>979.3</v>
      </c>
      <c r="K27" s="12" t="s">
        <v>81</v>
      </c>
      <c r="L27" s="12" t="s">
        <v>82</v>
      </c>
      <c r="M27" s="12" t="s">
        <v>93</v>
      </c>
    </row>
    <row r="28">
      <c r="A28" s="12" t="s">
        <v>225</v>
      </c>
      <c r="B28" s="14">
        <v>46301.962372685186</v>
      </c>
      <c r="C28" s="12" t="s">
        <v>110</v>
      </c>
      <c r="D28" s="12">
        <v>9.23278497923E11</v>
      </c>
      <c r="E28" s="12" t="s">
        <v>105</v>
      </c>
      <c r="F28" s="12" t="s">
        <v>105</v>
      </c>
      <c r="G28" s="12" t="s">
        <v>229</v>
      </c>
      <c r="H28" s="29">
        <v>1149.3</v>
      </c>
      <c r="I28" s="29">
        <v>0.0</v>
      </c>
      <c r="J28" s="29">
        <v>1149.3</v>
      </c>
      <c r="K28" s="12" t="s">
        <v>98</v>
      </c>
      <c r="L28" s="12" t="s">
        <v>82</v>
      </c>
      <c r="M28" s="12" t="s">
        <v>93</v>
      </c>
    </row>
    <row r="29">
      <c r="A29" s="12" t="s">
        <v>232</v>
      </c>
      <c r="B29" s="14">
        <v>46301.96262731482</v>
      </c>
      <c r="C29" s="12" t="s">
        <v>110</v>
      </c>
      <c r="D29" s="12">
        <v>9.23278497923E11</v>
      </c>
      <c r="E29" s="12" t="s">
        <v>234</v>
      </c>
      <c r="F29" s="12" t="s">
        <v>210</v>
      </c>
      <c r="G29" s="12" t="s">
        <v>229</v>
      </c>
      <c r="H29" s="29">
        <v>1149.3</v>
      </c>
      <c r="I29" s="29">
        <v>0.0</v>
      </c>
      <c r="J29" s="29">
        <v>1149.3</v>
      </c>
      <c r="K29" s="12" t="s">
        <v>98</v>
      </c>
      <c r="L29" s="12" t="s">
        <v>82</v>
      </c>
      <c r="M29" s="12" t="s">
        <v>93</v>
      </c>
      <c r="N29" s="12" t="s">
        <v>240</v>
      </c>
    </row>
    <row r="30">
      <c r="A30" s="12" t="s">
        <v>241</v>
      </c>
      <c r="B30" s="14">
        <v>46301.978101851855</v>
      </c>
      <c r="C30" s="12" t="s">
        <v>243</v>
      </c>
      <c r="D30" s="12">
        <v>3.465400131E9</v>
      </c>
      <c r="E30" s="12" t="s">
        <v>178</v>
      </c>
      <c r="F30" s="12" t="s">
        <v>178</v>
      </c>
      <c r="G30" s="12" t="s">
        <v>245</v>
      </c>
      <c r="H30" s="29">
        <v>1369.0</v>
      </c>
      <c r="I30" s="29">
        <v>0.0</v>
      </c>
      <c r="J30" s="29">
        <v>1369.0</v>
      </c>
      <c r="K30" s="12" t="s">
        <v>132</v>
      </c>
      <c r="L30" s="12" t="s">
        <v>82</v>
      </c>
      <c r="M30" s="12" t="s">
        <v>133</v>
      </c>
      <c r="N30" s="12" t="s">
        <v>134</v>
      </c>
      <c r="O30" s="28"/>
      <c r="P30" s="28"/>
      <c r="Q30" s="28"/>
      <c r="R30" s="28"/>
    </row>
    <row r="31">
      <c r="A31" s="12" t="s">
        <v>251</v>
      </c>
      <c r="B31" s="14">
        <v>46301.99282407408</v>
      </c>
      <c r="C31" s="12" t="s">
        <v>170</v>
      </c>
      <c r="D31" s="12">
        <v>9.23278497923E11</v>
      </c>
      <c r="E31" s="12" t="s">
        <v>252</v>
      </c>
      <c r="F31" s="12" t="s">
        <v>254</v>
      </c>
      <c r="G31" s="12" t="s">
        <v>255</v>
      </c>
      <c r="H31" s="29">
        <v>979.3</v>
      </c>
      <c r="I31" s="29">
        <v>0.0</v>
      </c>
      <c r="J31" s="29">
        <v>979.3</v>
      </c>
      <c r="K31" s="12" t="s">
        <v>81</v>
      </c>
      <c r="L31" s="12" t="s">
        <v>82</v>
      </c>
      <c r="M31" s="12" t="s">
        <v>133</v>
      </c>
      <c r="N31" s="12" t="s">
        <v>134</v>
      </c>
      <c r="O31" s="28"/>
      <c r="P31" s="28"/>
      <c r="Q31" s="28"/>
      <c r="R31" s="28"/>
    </row>
    <row r="32">
      <c r="A32" s="12" t="s">
        <v>261</v>
      </c>
      <c r="B32" s="14">
        <v>46302.00928240741</v>
      </c>
      <c r="C32" s="12" t="s">
        <v>263</v>
      </c>
      <c r="D32" s="12">
        <v>3.454545455E9</v>
      </c>
      <c r="E32" s="12" t="s">
        <v>266</v>
      </c>
      <c r="F32" s="12" t="s">
        <v>266</v>
      </c>
      <c r="G32" s="12" t="s">
        <v>267</v>
      </c>
      <c r="H32" s="29">
        <v>2499.0</v>
      </c>
      <c r="I32" s="29">
        <v>0.0</v>
      </c>
      <c r="J32" s="29">
        <v>2499.0</v>
      </c>
      <c r="K32" s="12" t="s">
        <v>81</v>
      </c>
      <c r="L32" s="12" t="s">
        <v>82</v>
      </c>
      <c r="M32" s="12" t="s">
        <v>133</v>
      </c>
      <c r="N32" s="12" t="s">
        <v>134</v>
      </c>
      <c r="O32" s="28"/>
      <c r="P32" s="28"/>
      <c r="Q32" s="28"/>
      <c r="R32" s="28"/>
    </row>
    <row r="33">
      <c r="A33" s="12" t="s">
        <v>272</v>
      </c>
      <c r="B33" s="14">
        <v>46302.02092592593</v>
      </c>
      <c r="C33" s="12" t="s">
        <v>263</v>
      </c>
      <c r="D33" s="12">
        <v>3.075159107E9</v>
      </c>
      <c r="E33" s="12" t="s">
        <v>274</v>
      </c>
      <c r="F33" s="12" t="s">
        <v>276</v>
      </c>
      <c r="G33" s="12" t="s">
        <v>278</v>
      </c>
      <c r="H33" s="29">
        <v>489.3</v>
      </c>
      <c r="I33" s="29">
        <v>0.0</v>
      </c>
      <c r="J33" s="29">
        <v>489.3</v>
      </c>
      <c r="K33" s="12" t="s">
        <v>81</v>
      </c>
      <c r="L33" s="12" t="s">
        <v>82</v>
      </c>
      <c r="M33" s="12" t="s">
        <v>133</v>
      </c>
      <c r="N33" s="12" t="s">
        <v>134</v>
      </c>
      <c r="O33" s="28"/>
      <c r="P33" s="28"/>
      <c r="Q33" s="28"/>
      <c r="R33" s="28"/>
    </row>
    <row r="34">
      <c r="A34" s="12" t="s">
        <v>279</v>
      </c>
      <c r="B34" s="14">
        <v>46302.030335648145</v>
      </c>
      <c r="C34" s="12" t="s">
        <v>162</v>
      </c>
      <c r="D34" s="12">
        <v>3.153038021E9</v>
      </c>
      <c r="E34" s="12" t="s">
        <v>266</v>
      </c>
      <c r="F34" s="12" t="s">
        <v>266</v>
      </c>
      <c r="G34" s="12" t="s">
        <v>212</v>
      </c>
      <c r="H34" s="29">
        <v>1959.3</v>
      </c>
      <c r="I34" s="29">
        <v>0.0</v>
      </c>
      <c r="J34" s="29">
        <v>1959.3</v>
      </c>
      <c r="K34" s="12" t="s">
        <v>81</v>
      </c>
      <c r="L34" s="12" t="s">
        <v>82</v>
      </c>
      <c r="M34" s="12" t="s">
        <v>133</v>
      </c>
      <c r="N34" s="12" t="s">
        <v>134</v>
      </c>
      <c r="O34" s="28"/>
      <c r="P34" s="28"/>
      <c r="Q34" s="28"/>
      <c r="R34" s="28"/>
    </row>
  </sheetData>
  <conditionalFormatting sqref="A2:R906">
    <cfRule type="expression" dxfId="4" priority="1" stopIfTrue="1">
      <formula>$M2="Cancelled"</formula>
    </cfRule>
  </conditionalFormatting>
  <drawing r:id="rId1"/>
</worksheet>
</file>